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b246357/Documents/uni/biophysical/"/>
    </mc:Choice>
  </mc:AlternateContent>
  <xr:revisionPtr revIDLastSave="0" documentId="13_ncr:1_{6AC5818F-53E6-4746-89B8-3E6E026076A5}" xr6:coauthVersionLast="47" xr6:coauthVersionMax="47" xr10:uidLastSave="{00000000-0000-0000-0000-000000000000}"/>
  <bookViews>
    <workbookView xWindow="0" yWindow="660" windowWidth="28800" windowHeight="16480" xr2:uid="{00000000-000D-0000-FFFF-FFFF00000000}"/>
  </bookViews>
  <sheets>
    <sheet name="Data analysis" sheetId="1" r:id="rId1"/>
    <sheet name="Sheet1" sheetId="4" r:id="rId2"/>
    <sheet name="__OpenSolverCache__" sheetId="2" state="hidden" r:id="rId3"/>
    <sheet name="__OpenSolver__" sheetId="3" state="hidden" r:id="rId4"/>
  </sheets>
  <definedNames>
    <definedName name="solver_adj" localSheetId="0" hidden="1">'Data analysis'!$H$1:$H$3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'Data analysis'!$M$8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A28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A12" i="3"/>
  <c r="A11" i="3"/>
  <c r="A10" i="3"/>
  <c r="A8" i="3"/>
  <c r="A7" i="3"/>
  <c r="A5" i="3"/>
  <c r="A4" i="3"/>
  <c r="A3" i="3"/>
  <c r="A2" i="3"/>
  <c r="I51" i="1"/>
  <c r="I52" i="1" s="1"/>
  <c r="B8" i="1"/>
  <c r="C8" i="1" s="1"/>
  <c r="E8" i="1" s="1"/>
  <c r="D8" i="1" l="1"/>
  <c r="F8" i="1" s="1"/>
  <c r="B9" i="1"/>
  <c r="C9" i="1" l="1"/>
  <c r="E9" i="1" s="1"/>
  <c r="B10" i="1"/>
  <c r="I8" i="1"/>
  <c r="J8" i="1" s="1"/>
  <c r="L8" i="1" s="1"/>
  <c r="C10" i="1" l="1"/>
  <c r="E10" i="1" s="1"/>
  <c r="B11" i="1"/>
  <c r="D9" i="1"/>
  <c r="F9" i="1" s="1"/>
  <c r="C11" i="1" l="1"/>
  <c r="E11" i="1" s="1"/>
  <c r="B12" i="1"/>
  <c r="I9" i="1"/>
  <c r="J9" i="1" s="1"/>
  <c r="L9" i="1" s="1"/>
  <c r="D10" i="1"/>
  <c r="F10" i="1" s="1"/>
  <c r="D11" i="1" l="1"/>
  <c r="F11" i="1" s="1"/>
  <c r="I10" i="1"/>
  <c r="J10" i="1" s="1"/>
  <c r="L10" i="1" s="1"/>
  <c r="B13" i="1"/>
  <c r="C12" i="1"/>
  <c r="E12" i="1" s="1"/>
  <c r="I11" i="1" l="1"/>
  <c r="J11" i="1" s="1"/>
  <c r="L11" i="1" s="1"/>
  <c r="B14" i="1"/>
  <c r="C13" i="1"/>
  <c r="E13" i="1" s="1"/>
  <c r="D12" i="1"/>
  <c r="F12" i="1" s="1"/>
  <c r="D13" i="1" l="1"/>
  <c r="F13" i="1" s="1"/>
  <c r="B15" i="1"/>
  <c r="C14" i="1"/>
  <c r="E14" i="1" s="1"/>
  <c r="I12" i="1"/>
  <c r="J12" i="1" s="1"/>
  <c r="L12" i="1" s="1"/>
  <c r="D14" i="1" l="1"/>
  <c r="F14" i="1" s="1"/>
  <c r="B16" i="1"/>
  <c r="C15" i="1"/>
  <c r="E15" i="1" s="1"/>
  <c r="I13" i="1"/>
  <c r="J13" i="1" s="1"/>
  <c r="L13" i="1" s="1"/>
  <c r="C16" i="1" l="1"/>
  <c r="E16" i="1" s="1"/>
  <c r="B17" i="1"/>
  <c r="D15" i="1"/>
  <c r="F15" i="1" s="1"/>
  <c r="I14" i="1"/>
  <c r="J14" i="1" s="1"/>
  <c r="L14" i="1" s="1"/>
  <c r="B18" i="1" l="1"/>
  <c r="C17" i="1"/>
  <c r="E17" i="1" s="1"/>
  <c r="D16" i="1"/>
  <c r="F16" i="1" s="1"/>
  <c r="I15" i="1"/>
  <c r="J15" i="1" s="1"/>
  <c r="L15" i="1" s="1"/>
  <c r="I16" i="1" l="1"/>
  <c r="J16" i="1" s="1"/>
  <c r="L16" i="1" s="1"/>
  <c r="D17" i="1"/>
  <c r="F17" i="1" s="1"/>
  <c r="C18" i="1"/>
  <c r="E18" i="1" s="1"/>
  <c r="B19" i="1"/>
  <c r="D18" i="1" l="1"/>
  <c r="F18" i="1" s="1"/>
  <c r="C19" i="1"/>
  <c r="E19" i="1" s="1"/>
  <c r="B20" i="1"/>
  <c r="I17" i="1"/>
  <c r="J17" i="1" s="1"/>
  <c r="L17" i="1" s="1"/>
  <c r="D19" i="1" l="1"/>
  <c r="F19" i="1" s="1"/>
  <c r="C20" i="1"/>
  <c r="E20" i="1" s="1"/>
  <c r="B21" i="1"/>
  <c r="I18" i="1"/>
  <c r="J18" i="1" s="1"/>
  <c r="L18" i="1" s="1"/>
  <c r="I19" i="1"/>
  <c r="J19" i="1" s="1"/>
  <c r="L19" i="1" s="1"/>
  <c r="B22" i="1" l="1"/>
  <c r="C21" i="1"/>
  <c r="E21" i="1" s="1"/>
  <c r="D20" i="1"/>
  <c r="F20" i="1" s="1"/>
  <c r="D21" i="1" l="1"/>
  <c r="F21" i="1" s="1"/>
  <c r="C22" i="1"/>
  <c r="E22" i="1" s="1"/>
  <c r="I20" i="1" l="1"/>
  <c r="J20" i="1" s="1"/>
  <c r="L20" i="1" s="1"/>
  <c r="D22" i="1"/>
  <c r="F22" i="1" s="1"/>
  <c r="I21" i="1"/>
  <c r="J21" i="1" s="1"/>
  <c r="L21" i="1" s="1"/>
  <c r="I22" i="1" l="1"/>
  <c r="J22" i="1" s="1"/>
  <c r="L22" i="1" s="1"/>
  <c r="M8" i="1" s="1"/>
</calcChain>
</file>

<file path=xl/sharedStrings.xml><?xml version="1.0" encoding="utf-8"?>
<sst xmlns="http://schemas.openxmlformats.org/spreadsheetml/2006/main" count="33" uniqueCount="29">
  <si>
    <t>Ligand (syringe)</t>
  </si>
  <si>
    <t>mM</t>
  </si>
  <si>
    <t>n</t>
  </si>
  <si>
    <t>Protein (Cell)</t>
  </si>
  <si>
    <t>Kd</t>
  </si>
  <si>
    <t>Temperature</t>
  </si>
  <si>
    <t>C</t>
  </si>
  <si>
    <t>dH_binding</t>
  </si>
  <si>
    <t>kJ/mol</t>
  </si>
  <si>
    <t>Initial cell volume</t>
  </si>
  <si>
    <t>ml</t>
  </si>
  <si>
    <t>Theo</t>
  </si>
  <si>
    <t>Exp</t>
  </si>
  <si>
    <t>RS</t>
  </si>
  <si>
    <t>RSS</t>
  </si>
  <si>
    <t>Injektion (µL)</t>
  </si>
  <si>
    <t>Inj total (µL)</t>
  </si>
  <si>
    <t>cell volume (ml)</t>
  </si>
  <si>
    <t>[L] (mM)</t>
  </si>
  <si>
    <t>[P] (mM)</t>
  </si>
  <si>
    <t>Molar ratio</t>
  </si>
  <si>
    <t>[PL] (mM)</t>
  </si>
  <si>
    <t>Q(i) (kJ)</t>
  </si>
  <si>
    <t>dQ(i) (kJ)</t>
  </si>
  <si>
    <t>dQ(i)/[injected]  (kJ/mol)</t>
  </si>
  <si>
    <t>dQ(i)/[injected] (kJ/mol)</t>
  </si>
  <si>
    <t>#ERROR!</t>
  </si>
  <si>
    <t>deltaG at 25C</t>
  </si>
  <si>
    <t>deltaEntropy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</si>
</sst>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"/>
    <numFmt numFmtId="165" formatCode="0.0000"/>
    <numFmt numFmtId="166" formatCode="0.0"/>
    <numFmt numFmtId="167" formatCode="#,##0.0000"/>
    <numFmt numFmtId="168" formatCode="0.00000E+00"/>
    <numFmt numFmtId="169" formatCode="0.000"/>
    <numFmt numFmtId="170" formatCode="0.00000"/>
    <numFmt numFmtId="171" formatCode="#,##0.0"/>
  </numFmts>
  <fonts count="10" x14ac:knownFonts="1">
    <font>
      <sz val="10"/>
      <color rgb="FF000000"/>
      <name val="Calibri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7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164" fontId="2" fillId="2" borderId="2" xfId="0" applyNumberFormat="1" applyFont="1" applyFill="1" applyBorder="1"/>
    <xf numFmtId="0" fontId="1" fillId="0" borderId="3" xfId="0" applyFont="1" applyBorder="1"/>
    <xf numFmtId="2" fontId="3" fillId="3" borderId="4" xfId="0" applyNumberFormat="1" applyFont="1" applyFill="1" applyBorder="1"/>
    <xf numFmtId="0" fontId="1" fillId="0" borderId="5" xfId="0" applyFont="1" applyBorder="1"/>
    <xf numFmtId="0" fontId="1" fillId="0" borderId="6" xfId="0" applyFont="1" applyBorder="1"/>
    <xf numFmtId="165" fontId="3" fillId="3" borderId="2" xfId="0" applyNumberFormat="1" applyFont="1" applyFill="1" applyBorder="1"/>
    <xf numFmtId="0" fontId="5" fillId="0" borderId="0" xfId="0" applyFont="1"/>
    <xf numFmtId="0" fontId="6" fillId="0" borderId="0" xfId="0" applyFont="1"/>
    <xf numFmtId="0" fontId="1" fillId="0" borderId="7" xfId="0" applyFont="1" applyBorder="1"/>
    <xf numFmtId="2" fontId="3" fillId="3" borderId="8" xfId="0" applyNumberFormat="1" applyFont="1" applyFill="1" applyBorder="1"/>
    <xf numFmtId="0" fontId="1" fillId="0" borderId="9" xfId="0" applyFont="1" applyBorder="1"/>
    <xf numFmtId="166" fontId="4" fillId="0" borderId="0" xfId="0" applyNumberFormat="1" applyFont="1"/>
    <xf numFmtId="0" fontId="1" fillId="0" borderId="0" xfId="0" applyFont="1" applyAlignment="1">
      <alignment horizontal="center"/>
    </xf>
    <xf numFmtId="0" fontId="7" fillId="0" borderId="0" xfId="0" applyFont="1"/>
    <xf numFmtId="0" fontId="4" fillId="0" borderId="0" xfId="0" applyFont="1"/>
    <xf numFmtId="168" fontId="4" fillId="0" borderId="0" xfId="0" applyNumberFormat="1" applyFont="1"/>
    <xf numFmtId="11" fontId="6" fillId="7" borderId="10" xfId="0" applyNumberFormat="1" applyFont="1" applyFill="1" applyBorder="1"/>
    <xf numFmtId="0" fontId="8" fillId="0" borderId="0" xfId="0" applyFont="1"/>
    <xf numFmtId="0" fontId="8" fillId="0" borderId="0" xfId="0" applyFont="1" applyAlignment="1">
      <alignment horizontal="right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4" borderId="11" xfId="0" applyFont="1" applyFill="1" applyBorder="1"/>
    <xf numFmtId="0" fontId="7" fillId="0" borderId="11" xfId="0" applyFont="1" applyBorder="1"/>
    <xf numFmtId="0" fontId="7" fillId="5" borderId="11" xfId="0" applyFont="1" applyFill="1" applyBorder="1"/>
    <xf numFmtId="167" fontId="7" fillId="0" borderId="11" xfId="0" applyNumberFormat="1" applyFont="1" applyBorder="1"/>
    <xf numFmtId="169" fontId="7" fillId="0" borderId="11" xfId="0" applyNumberFormat="1" applyFont="1" applyBorder="1"/>
    <xf numFmtId="170" fontId="7" fillId="0" borderId="11" xfId="0" applyNumberFormat="1" applyFont="1" applyBorder="1"/>
    <xf numFmtId="166" fontId="7" fillId="0" borderId="11" xfId="0" applyNumberFormat="1" applyFont="1" applyBorder="1"/>
    <xf numFmtId="170" fontId="7" fillId="3" borderId="11" xfId="0" applyNumberFormat="1" applyFont="1" applyFill="1" applyBorder="1"/>
    <xf numFmtId="0" fontId="7" fillId="3" borderId="11" xfId="0" applyFont="1" applyFill="1" applyBorder="1"/>
    <xf numFmtId="11" fontId="7" fillId="6" borderId="11" xfId="0" applyNumberFormat="1" applyFont="1" applyFill="1" applyBorder="1"/>
    <xf numFmtId="171" fontId="2" fillId="2" borderId="2" xfId="0" applyNumberFormat="1" applyFont="1" applyFill="1" applyBorder="1"/>
    <xf numFmtId="167" fontId="2" fillId="2" borderId="2" xfId="0" applyNumberFormat="1" applyFont="1" applyFill="1" applyBorder="1"/>
    <xf numFmtId="0" fontId="9" fillId="0" borderId="11" xfId="0" applyFont="1" applyBorder="1" applyAlignment="1">
      <alignment horizontal="center"/>
    </xf>
    <xf numFmtId="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'Data analysis'!$J$6</c:f>
              <c:strCache>
                <c:ptCount val="1"/>
                <c:pt idx="0">
                  <c:v>Theo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'Data analysis'!$F$8:$F$22</c:f>
              <c:numCache>
                <c:formatCode>0.0</c:formatCode>
                <c:ptCount val="15"/>
                <c:pt idx="0">
                  <c:v>0.27394258163488933</c:v>
                </c:pt>
                <c:pt idx="1">
                  <c:v>0.54788516326977865</c:v>
                </c:pt>
                <c:pt idx="2">
                  <c:v>0.82182774490466803</c:v>
                </c:pt>
                <c:pt idx="3">
                  <c:v>1.0957703265395573</c:v>
                </c:pt>
                <c:pt idx="4">
                  <c:v>1.3697129081744468</c:v>
                </c:pt>
                <c:pt idx="5">
                  <c:v>1.6436554898093358</c:v>
                </c:pt>
                <c:pt idx="6">
                  <c:v>1.9175980714442253</c:v>
                </c:pt>
                <c:pt idx="7">
                  <c:v>2.1915406530791146</c:v>
                </c:pt>
                <c:pt idx="8">
                  <c:v>2.4654832347140037</c:v>
                </c:pt>
                <c:pt idx="9">
                  <c:v>2.7394258163488927</c:v>
                </c:pt>
                <c:pt idx="10">
                  <c:v>3.0133683979837822</c:v>
                </c:pt>
                <c:pt idx="11">
                  <c:v>3.2873109796186717</c:v>
                </c:pt>
                <c:pt idx="12">
                  <c:v>3.5612535612535607</c:v>
                </c:pt>
                <c:pt idx="13">
                  <c:v>3.8351961428884511</c:v>
                </c:pt>
                <c:pt idx="14">
                  <c:v>4.1091387245233406</c:v>
                </c:pt>
              </c:numCache>
            </c:numRef>
          </c:xVal>
          <c:yVal>
            <c:numRef>
              <c:f>'Data analysis'!$J$8:$J$22</c:f>
              <c:numCache>
                <c:formatCode>General</c:formatCode>
                <c:ptCount val="15"/>
                <c:pt idx="0">
                  <c:v>-42.719660226063212</c:v>
                </c:pt>
                <c:pt idx="1">
                  <c:v>-34.371864598028779</c:v>
                </c:pt>
                <c:pt idx="2">
                  <c:v>-25.460023727655141</c:v>
                </c:pt>
                <c:pt idx="3">
                  <c:v>-17.828114527325113</c:v>
                </c:pt>
                <c:pt idx="4">
                  <c:v>-12.304021477834633</c:v>
                </c:pt>
                <c:pt idx="5">
                  <c:v>-8.6298005788979424</c:v>
                </c:pt>
                <c:pt idx="6">
                  <c:v>-6.2334094222767584</c:v>
                </c:pt>
                <c:pt idx="7">
                  <c:v>-4.6476237792039541</c:v>
                </c:pt>
                <c:pt idx="8">
                  <c:v>-3.5687957034003057</c:v>
                </c:pt>
                <c:pt idx="9">
                  <c:v>-2.8120558987143029</c:v>
                </c:pt>
                <c:pt idx="10">
                  <c:v>-2.2654709210172954</c:v>
                </c:pt>
                <c:pt idx="11">
                  <c:v>-1.8600626397565785</c:v>
                </c:pt>
                <c:pt idx="12">
                  <c:v>-1.5522104055723367</c:v>
                </c:pt>
                <c:pt idx="13">
                  <c:v>-1.3135526230288401</c:v>
                </c:pt>
                <c:pt idx="14">
                  <c:v>-1.1251439468333759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6C-4F8E-8116-52C6B8571358}"/>
            </c:ext>
          </c:extLst>
        </c:ser>
        <c:ser>
          <c:idx val="1"/>
          <c:order val="1"/>
          <c:tx>
            <c:strRef>
              <c:f>'Data analysis'!$K$6</c:f>
              <c:strCache>
                <c:ptCount val="1"/>
                <c:pt idx="0">
                  <c:v>Exp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'Data analysis'!$F$8:$F$22</c:f>
              <c:numCache>
                <c:formatCode>0.0</c:formatCode>
                <c:ptCount val="15"/>
                <c:pt idx="0">
                  <c:v>0.27394258163488933</c:v>
                </c:pt>
                <c:pt idx="1">
                  <c:v>0.54788516326977865</c:v>
                </c:pt>
                <c:pt idx="2">
                  <c:v>0.82182774490466803</c:v>
                </c:pt>
                <c:pt idx="3">
                  <c:v>1.0957703265395573</c:v>
                </c:pt>
                <c:pt idx="4">
                  <c:v>1.3697129081744468</c:v>
                </c:pt>
                <c:pt idx="5">
                  <c:v>1.6436554898093358</c:v>
                </c:pt>
                <c:pt idx="6">
                  <c:v>1.9175980714442253</c:v>
                </c:pt>
                <c:pt idx="7">
                  <c:v>2.1915406530791146</c:v>
                </c:pt>
                <c:pt idx="8">
                  <c:v>2.4654832347140037</c:v>
                </c:pt>
                <c:pt idx="9">
                  <c:v>2.7394258163488927</c:v>
                </c:pt>
                <c:pt idx="10">
                  <c:v>3.0133683979837822</c:v>
                </c:pt>
                <c:pt idx="11">
                  <c:v>3.2873109796186717</c:v>
                </c:pt>
                <c:pt idx="12">
                  <c:v>3.5612535612535607</c:v>
                </c:pt>
                <c:pt idx="13">
                  <c:v>3.8351961428884511</c:v>
                </c:pt>
                <c:pt idx="14">
                  <c:v>4.1091387245233406</c:v>
                </c:pt>
              </c:numCache>
            </c:numRef>
          </c:xVal>
          <c:yVal>
            <c:numRef>
              <c:f>'Data analysis'!$K$8:$K$22</c:f>
              <c:numCache>
                <c:formatCode>General</c:formatCode>
                <c:ptCount val="15"/>
                <c:pt idx="0">
                  <c:v>-41.84</c:v>
                </c:pt>
                <c:pt idx="1">
                  <c:v>-36.82</c:v>
                </c:pt>
                <c:pt idx="2">
                  <c:v>-23.01</c:v>
                </c:pt>
                <c:pt idx="3">
                  <c:v>-18.829999999999998</c:v>
                </c:pt>
                <c:pt idx="4">
                  <c:v>-11.72</c:v>
                </c:pt>
                <c:pt idx="5">
                  <c:v>-7.95</c:v>
                </c:pt>
                <c:pt idx="6">
                  <c:v>-7.12</c:v>
                </c:pt>
                <c:pt idx="7">
                  <c:v>-6.69</c:v>
                </c:pt>
                <c:pt idx="8">
                  <c:v>-3.35</c:v>
                </c:pt>
                <c:pt idx="9">
                  <c:v>-2.93</c:v>
                </c:pt>
                <c:pt idx="10">
                  <c:v>-1.67</c:v>
                </c:pt>
                <c:pt idx="11">
                  <c:v>-1.67</c:v>
                </c:pt>
                <c:pt idx="12">
                  <c:v>-1.26</c:v>
                </c:pt>
                <c:pt idx="13">
                  <c:v>-0.84</c:v>
                </c:pt>
                <c:pt idx="14">
                  <c:v>-0.42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6C-4F8E-8116-52C6B8571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410284"/>
        <c:axId val="1068871573"/>
      </c:scatterChart>
      <c:valAx>
        <c:axId val="2058410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2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a-DK" sz="2000" b="1" i="0">
                    <a:solidFill>
                      <a:srgbClr val="000000"/>
                    </a:solidFill>
                    <a:latin typeface="+mn-lt"/>
                  </a:rPr>
                  <a:t>Molar ratio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800" b="0" i="0">
                <a:solidFill>
                  <a:srgbClr val="000000"/>
                </a:solidFill>
                <a:latin typeface="+mn-lt"/>
              </a:defRPr>
            </a:pPr>
            <a:endParaRPr lang="da-DK"/>
          </a:p>
        </c:txPr>
        <c:crossAx val="1068871573"/>
        <c:crosses val="autoZero"/>
        <c:crossBetween val="midCat"/>
      </c:valAx>
      <c:valAx>
        <c:axId val="1068871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2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a-DK" sz="2000" b="1" i="0">
                    <a:solidFill>
                      <a:srgbClr val="000000"/>
                    </a:solidFill>
                    <a:latin typeface="+mn-lt"/>
                  </a:rPr>
                  <a:t>kJ/mol of injectant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800" b="0" i="0">
                <a:solidFill>
                  <a:srgbClr val="000000"/>
                </a:solidFill>
                <a:latin typeface="+mn-lt"/>
              </a:defRPr>
            </a:pPr>
            <a:endParaRPr lang="da-DK"/>
          </a:p>
        </c:txPr>
        <c:crossAx val="205841028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800" b="1" i="0">
              <a:solidFill>
                <a:srgbClr val="1A1A1A"/>
              </a:solidFill>
              <a:latin typeface="+mn-lt"/>
            </a:defRPr>
          </a:pPr>
          <a:endParaRPr lang="da-D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276225</xdr:colOff>
      <xdr:row>5</xdr:row>
      <xdr:rowOff>66675</xdr:rowOff>
    </xdr:from>
    <xdr:ext cx="5981700" cy="36004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28575</xdr:colOff>
      <xdr:row>22</xdr:row>
      <xdr:rowOff>66675</xdr:rowOff>
    </xdr:from>
    <xdr:ext cx="13373100" cy="3105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91200" y="4467225"/>
          <a:ext cx="13373100" cy="31051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8</xdr:row>
      <xdr:rowOff>57150</xdr:rowOff>
    </xdr:from>
    <xdr:ext cx="2362200" cy="220027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topLeftCell="A11" workbookViewId="0">
      <selection activeCell="K8" sqref="K8"/>
    </sheetView>
  </sheetViews>
  <sheetFormatPr baseColWidth="10" defaultColWidth="14.3984375" defaultRowHeight="15.75" customHeight="1" x14ac:dyDescent="0.2"/>
  <cols>
    <col min="1" max="1" width="23.796875" bestFit="1" customWidth="1"/>
    <col min="2" max="2" width="15.19921875" customWidth="1"/>
    <col min="3" max="3" width="19.3984375" customWidth="1"/>
    <col min="4" max="4" width="15.19921875" customWidth="1"/>
    <col min="5" max="5" width="15" customWidth="1"/>
    <col min="6" max="6" width="18.796875" customWidth="1"/>
    <col min="7" max="7" width="15.796875" customWidth="1"/>
    <col min="8" max="8" width="19.59765625" customWidth="1"/>
    <col min="9" max="9" width="26" customWidth="1"/>
    <col min="10" max="10" width="29.796875" customWidth="1"/>
    <col min="11" max="11" width="29" customWidth="1"/>
    <col min="12" max="12" width="19.19921875" customWidth="1"/>
    <col min="13" max="13" width="12.3984375" customWidth="1"/>
    <col min="14" max="14" width="12.59765625" customWidth="1"/>
    <col min="15" max="15" width="8.796875" customWidth="1"/>
    <col min="16" max="16" width="9.19921875" customWidth="1"/>
    <col min="17" max="20" width="8.796875" customWidth="1"/>
    <col min="21" max="21" width="15.19921875" customWidth="1"/>
    <col min="22" max="27" width="8.796875" customWidth="1"/>
  </cols>
  <sheetData>
    <row r="1" spans="1:21" ht="23" x14ac:dyDescent="0.3">
      <c r="A1" s="1" t="s">
        <v>0</v>
      </c>
      <c r="B1" s="33">
        <v>1</v>
      </c>
      <c r="C1" s="3" t="s">
        <v>1</v>
      </c>
      <c r="G1" s="1" t="s">
        <v>2</v>
      </c>
      <c r="H1" s="4">
        <v>1.2488224703440152</v>
      </c>
      <c r="I1" s="3"/>
    </row>
    <row r="2" spans="1:21" ht="23" x14ac:dyDescent="0.3">
      <c r="A2" s="5" t="s">
        <v>3</v>
      </c>
      <c r="B2" s="2">
        <v>4.4999999999999998E-2</v>
      </c>
      <c r="C2" s="6" t="s">
        <v>1</v>
      </c>
      <c r="G2" s="5" t="s">
        <v>4</v>
      </c>
      <c r="H2" s="7">
        <v>1.5940672482988114E-2</v>
      </c>
      <c r="I2" s="6" t="s">
        <v>1</v>
      </c>
      <c r="K2" s="8"/>
      <c r="L2" s="8"/>
    </row>
    <row r="3" spans="1:21" ht="23" x14ac:dyDescent="0.3">
      <c r="A3" s="5" t="s">
        <v>5</v>
      </c>
      <c r="B3" s="33">
        <v>25</v>
      </c>
      <c r="C3" s="6" t="s">
        <v>6</v>
      </c>
      <c r="D3" s="9"/>
      <c r="E3" s="9"/>
      <c r="G3" s="10" t="s">
        <v>7</v>
      </c>
      <c r="H3" s="11">
        <v>-50.203759744725133</v>
      </c>
      <c r="I3" s="12" t="s">
        <v>8</v>
      </c>
    </row>
    <row r="4" spans="1:21" ht="21" x14ac:dyDescent="0.25">
      <c r="A4" s="10" t="s">
        <v>9</v>
      </c>
      <c r="B4" s="34">
        <v>0.20280000000000001</v>
      </c>
      <c r="C4" s="12" t="s">
        <v>10</v>
      </c>
      <c r="D4" s="9"/>
      <c r="E4" s="9"/>
      <c r="H4" s="13"/>
    </row>
    <row r="5" spans="1:21" ht="14" x14ac:dyDescent="0.2"/>
    <row r="6" spans="1:21" ht="21" x14ac:dyDescent="0.25">
      <c r="A6" s="9"/>
      <c r="G6" s="9"/>
      <c r="J6" s="14" t="s">
        <v>11</v>
      </c>
      <c r="K6" s="14" t="s">
        <v>12</v>
      </c>
      <c r="L6" s="14" t="s">
        <v>13</v>
      </c>
      <c r="M6" s="14" t="s">
        <v>14</v>
      </c>
    </row>
    <row r="7" spans="1:21" ht="19" x14ac:dyDescent="0.25">
      <c r="A7" s="22" t="s">
        <v>15</v>
      </c>
      <c r="B7" s="21" t="s">
        <v>16</v>
      </c>
      <c r="C7" s="23" t="s">
        <v>17</v>
      </c>
      <c r="D7" s="35" t="s">
        <v>18</v>
      </c>
      <c r="E7" s="22" t="s">
        <v>19</v>
      </c>
      <c r="F7" s="21" t="s">
        <v>20</v>
      </c>
      <c r="G7" s="21" t="s">
        <v>21</v>
      </c>
      <c r="H7" s="21" t="s">
        <v>22</v>
      </c>
      <c r="I7" s="22" t="s">
        <v>23</v>
      </c>
      <c r="J7" s="22" t="s">
        <v>24</v>
      </c>
      <c r="K7" s="22" t="s">
        <v>25</v>
      </c>
      <c r="L7" s="24"/>
      <c r="M7" s="15"/>
      <c r="N7" s="15"/>
      <c r="O7" s="15"/>
      <c r="P7" s="15"/>
      <c r="Q7" s="16"/>
      <c r="U7" s="17"/>
    </row>
    <row r="8" spans="1:21" ht="19" x14ac:dyDescent="0.25">
      <c r="A8" s="25">
        <v>2.5</v>
      </c>
      <c r="B8" s="24">
        <f>A8</f>
        <v>2.5</v>
      </c>
      <c r="C8" s="26">
        <f t="shared" ref="C8:C22" si="0">$B$4+B8/1000</f>
        <v>0.20530000000000001</v>
      </c>
      <c r="D8" s="27">
        <f t="shared" ref="D8:D22" si="1">(B8/(C8*1000))*$B$1</f>
        <v>1.2177301509985387E-2</v>
      </c>
      <c r="E8" s="28">
        <f t="shared" ref="E8:E22" si="2">$B$2*($B$4/C8)</f>
        <v>4.4452021432050653E-2</v>
      </c>
      <c r="F8" s="29">
        <f t="shared" ref="F8:F22" si="3">D8/E8</f>
        <v>0.27394258163488933</v>
      </c>
      <c r="G8" s="30">
        <f>(E8+$H$1*D8+$H$2-SQRT((D8*$H$1+E8+$H$2)*(D8*$H$1+E8+$H$2)-4*E8*$H$1*D8))/2</f>
        <v>1.0361976585460019E-2</v>
      </c>
      <c r="H8" s="31">
        <f>G8*$H$3*C8/1000000</f>
        <v>-1.0679915056515802E-7</v>
      </c>
      <c r="I8" s="24">
        <f>H8</f>
        <v>-1.0679915056515802E-7</v>
      </c>
      <c r="J8" s="24">
        <f t="shared" ref="J8:J22" si="4">I8/(A8*(10^-6)*$B$1*10^-3)</f>
        <v>-42.719660226063212</v>
      </c>
      <c r="K8" s="25">
        <v>-41.84</v>
      </c>
      <c r="L8" s="32">
        <f t="shared" ref="L8:L22" si="5">(K8-J8)^2</f>
        <v>0.77380211331757509</v>
      </c>
      <c r="M8" s="18">
        <f>SUM(L8:L22)</f>
        <v>20.793472008876368</v>
      </c>
      <c r="N8" s="15"/>
      <c r="O8" s="15"/>
      <c r="P8" s="15"/>
      <c r="Q8" s="16"/>
      <c r="U8" s="17"/>
    </row>
    <row r="9" spans="1:21" ht="19" x14ac:dyDescent="0.25">
      <c r="A9" s="25">
        <v>2.5</v>
      </c>
      <c r="B9" s="24">
        <f t="shared" ref="B9:B22" si="6">B8+A9</f>
        <v>5</v>
      </c>
      <c r="C9" s="26">
        <f t="shared" si="0"/>
        <v>0.20780000000000001</v>
      </c>
      <c r="D9" s="27">
        <f t="shared" si="1"/>
        <v>2.406159769008662E-2</v>
      </c>
      <c r="E9" s="28">
        <f t="shared" si="2"/>
        <v>4.3917228103946097E-2</v>
      </c>
      <c r="F9" s="29">
        <f t="shared" si="3"/>
        <v>0.54788516326977865</v>
      </c>
      <c r="G9" s="30">
        <f t="shared" ref="G9:G22" si="7">(E9+$H$1*D9+$H$2-SQRT((D9*$H$1+E9+$H$2)*(D9*$H$1+E9+$H$2)-4*E9*$H$1*D9))/2</f>
        <v>1.8474166726402643E-2</v>
      </c>
      <c r="H9" s="31">
        <f t="shared" ref="H9:H22" si="8">G9*$H$3*C9/1000000</f>
        <v>-1.9272881206022996E-7</v>
      </c>
      <c r="I9" s="24">
        <f t="shared" ref="I9:I22" si="9">H9-H8</f>
        <v>-8.5929661495071941E-8</v>
      </c>
      <c r="J9" s="24">
        <f t="shared" si="4"/>
        <v>-34.371864598028779</v>
      </c>
      <c r="K9" s="25">
        <v>-36.82</v>
      </c>
      <c r="L9" s="32">
        <f t="shared" si="5"/>
        <v>5.9933669463847936</v>
      </c>
      <c r="M9" s="15"/>
      <c r="N9" s="15"/>
      <c r="O9" s="15"/>
      <c r="P9" s="15"/>
      <c r="Q9" s="16"/>
      <c r="U9" s="17"/>
    </row>
    <row r="10" spans="1:21" ht="19" x14ac:dyDescent="0.25">
      <c r="A10" s="25">
        <v>2.5</v>
      </c>
      <c r="B10" s="24">
        <f t="shared" si="6"/>
        <v>7.5</v>
      </c>
      <c r="C10" s="26">
        <f t="shared" si="0"/>
        <v>0.21030000000000001</v>
      </c>
      <c r="D10" s="27">
        <f t="shared" si="1"/>
        <v>3.5663338088445073E-2</v>
      </c>
      <c r="E10" s="28">
        <f t="shared" si="2"/>
        <v>4.3395149786019965E-2</v>
      </c>
      <c r="F10" s="29">
        <f t="shared" si="3"/>
        <v>0.82182774490466803</v>
      </c>
      <c r="G10" s="30">
        <f t="shared" si="7"/>
        <v>2.4283244695159977E-2</v>
      </c>
      <c r="H10" s="31">
        <f t="shared" si="8"/>
        <v>-2.563788713793678E-7</v>
      </c>
      <c r="I10" s="24">
        <f t="shared" si="9"/>
        <v>-6.3650059319137841E-8</v>
      </c>
      <c r="J10" s="24">
        <f t="shared" si="4"/>
        <v>-25.460023727655141</v>
      </c>
      <c r="K10" s="25">
        <v>-23.01</v>
      </c>
      <c r="L10" s="32">
        <f t="shared" si="5"/>
        <v>6.0026162660731854</v>
      </c>
      <c r="M10" s="15"/>
      <c r="N10" s="15"/>
      <c r="O10" s="15"/>
      <c r="P10" s="15"/>
      <c r="Q10" s="16"/>
      <c r="U10" s="17"/>
    </row>
    <row r="11" spans="1:21" ht="19" x14ac:dyDescent="0.25">
      <c r="A11" s="25">
        <v>2.5</v>
      </c>
      <c r="B11" s="24">
        <f t="shared" si="6"/>
        <v>10</v>
      </c>
      <c r="C11" s="26">
        <f t="shared" si="0"/>
        <v>0.21280000000000002</v>
      </c>
      <c r="D11" s="27">
        <f t="shared" si="1"/>
        <v>4.6992481203007516E-2</v>
      </c>
      <c r="E11" s="28">
        <f t="shared" si="2"/>
        <v>4.2885338345864658E-2</v>
      </c>
      <c r="F11" s="29">
        <f t="shared" si="3"/>
        <v>1.0957703265395573</v>
      </c>
      <c r="G11" s="30">
        <f t="shared" si="7"/>
        <v>2.8169897450071202E-2</v>
      </c>
      <c r="H11" s="31">
        <f t="shared" si="8"/>
        <v>-3.0094915769768057E-7</v>
      </c>
      <c r="I11" s="24">
        <f t="shared" si="9"/>
        <v>-4.4570286318312771E-8</v>
      </c>
      <c r="J11" s="24">
        <f t="shared" si="4"/>
        <v>-17.828114527325113</v>
      </c>
      <c r="K11" s="25">
        <v>-18.829999999999998</v>
      </c>
      <c r="L11" s="32">
        <f t="shared" si="5"/>
        <v>1.0037745003569789</v>
      </c>
      <c r="M11" s="15"/>
      <c r="N11" s="15"/>
      <c r="O11" s="15"/>
      <c r="P11" s="15"/>
      <c r="Q11" s="16"/>
      <c r="U11" s="17"/>
    </row>
    <row r="12" spans="1:21" ht="19" x14ac:dyDescent="0.25">
      <c r="A12" s="25">
        <v>2.5</v>
      </c>
      <c r="B12" s="24">
        <f t="shared" si="6"/>
        <v>12.5</v>
      </c>
      <c r="C12" s="26">
        <f t="shared" si="0"/>
        <v>0.21530000000000002</v>
      </c>
      <c r="D12" s="27">
        <f t="shared" si="1"/>
        <v>5.8058522991175102E-2</v>
      </c>
      <c r="E12" s="28">
        <f t="shared" si="2"/>
        <v>4.2387366465397112E-2</v>
      </c>
      <c r="F12" s="29">
        <f t="shared" si="3"/>
        <v>1.3697129081744468</v>
      </c>
      <c r="G12" s="30">
        <f t="shared" si="7"/>
        <v>3.0688612922901232E-2</v>
      </c>
      <c r="H12" s="31">
        <f t="shared" si="8"/>
        <v>-3.3170921139226715E-7</v>
      </c>
      <c r="I12" s="24">
        <f t="shared" si="9"/>
        <v>-3.0760053694586577E-8</v>
      </c>
      <c r="J12" s="24">
        <f t="shared" si="4"/>
        <v>-12.304021477834633</v>
      </c>
      <c r="K12" s="25">
        <v>-11.72</v>
      </c>
      <c r="L12" s="32">
        <f t="shared" si="5"/>
        <v>0.34108108657214781</v>
      </c>
      <c r="M12" s="15"/>
      <c r="N12" s="15"/>
      <c r="O12" s="15"/>
      <c r="P12" s="15"/>
      <c r="Q12" s="16"/>
      <c r="U12" s="17"/>
    </row>
    <row r="13" spans="1:21" ht="19" x14ac:dyDescent="0.25">
      <c r="A13" s="25">
        <v>2.5</v>
      </c>
      <c r="B13" s="24">
        <f t="shared" si="6"/>
        <v>15</v>
      </c>
      <c r="C13" s="26">
        <f t="shared" si="0"/>
        <v>0.21779999999999999</v>
      </c>
      <c r="D13" s="27">
        <f t="shared" si="1"/>
        <v>6.8870523415977963E-2</v>
      </c>
      <c r="E13" s="28">
        <f t="shared" si="2"/>
        <v>4.1900826446280993E-2</v>
      </c>
      <c r="F13" s="29">
        <f t="shared" si="3"/>
        <v>1.6436554898093358</v>
      </c>
      <c r="G13" s="30">
        <f t="shared" si="7"/>
        <v>3.230944500480188E-2</v>
      </c>
      <c r="H13" s="31">
        <f t="shared" si="8"/>
        <v>-3.53283712839512E-7</v>
      </c>
      <c r="I13" s="24">
        <f t="shared" si="9"/>
        <v>-2.1574501447244854E-8</v>
      </c>
      <c r="J13" s="24">
        <f t="shared" si="4"/>
        <v>-8.6298005788979424</v>
      </c>
      <c r="K13" s="25">
        <v>-7.95</v>
      </c>
      <c r="L13" s="32">
        <f t="shared" si="5"/>
        <v>0.46212882706997738</v>
      </c>
      <c r="M13" s="15"/>
      <c r="N13" s="15"/>
      <c r="O13" s="15"/>
      <c r="P13" s="15"/>
      <c r="Q13" s="16"/>
      <c r="U13" s="17"/>
    </row>
    <row r="14" spans="1:21" ht="19" x14ac:dyDescent="0.25">
      <c r="A14" s="25">
        <v>2.5</v>
      </c>
      <c r="B14" s="24">
        <f t="shared" si="6"/>
        <v>17.5</v>
      </c>
      <c r="C14" s="26">
        <f t="shared" si="0"/>
        <v>0.2203</v>
      </c>
      <c r="D14" s="27">
        <f t="shared" si="1"/>
        <v>7.9437131184748072E-2</v>
      </c>
      <c r="E14" s="28">
        <f t="shared" si="2"/>
        <v>4.1425329096686336E-2</v>
      </c>
      <c r="F14" s="29">
        <f t="shared" si="3"/>
        <v>1.9175980714442253</v>
      </c>
      <c r="G14" s="30">
        <f t="shared" si="7"/>
        <v>3.3351804948786021E-2</v>
      </c>
      <c r="H14" s="31">
        <f t="shared" si="8"/>
        <v>-3.6886723639520389E-7</v>
      </c>
      <c r="I14" s="24">
        <f t="shared" si="9"/>
        <v>-1.5583523555691895E-8</v>
      </c>
      <c r="J14" s="24">
        <f t="shared" si="4"/>
        <v>-6.2334094222767584</v>
      </c>
      <c r="K14" s="25">
        <v>-7.12</v>
      </c>
      <c r="L14" s="32">
        <f t="shared" si="5"/>
        <v>0.7860428525076314</v>
      </c>
      <c r="M14" s="15"/>
      <c r="N14" s="15"/>
      <c r="O14" s="15"/>
      <c r="P14" s="15"/>
      <c r="Q14" s="16"/>
      <c r="U14" s="17"/>
    </row>
    <row r="15" spans="1:21" ht="19" x14ac:dyDescent="0.25">
      <c r="A15" s="25">
        <v>2.5</v>
      </c>
      <c r="B15" s="24">
        <f t="shared" si="6"/>
        <v>20</v>
      </c>
      <c r="C15" s="26">
        <f t="shared" si="0"/>
        <v>0.2228</v>
      </c>
      <c r="D15" s="27">
        <f t="shared" si="1"/>
        <v>8.9766606822262118E-2</v>
      </c>
      <c r="E15" s="28">
        <f t="shared" si="2"/>
        <v>4.0960502692998203E-2</v>
      </c>
      <c r="F15" s="29">
        <f t="shared" si="3"/>
        <v>2.1915406530791146</v>
      </c>
      <c r="G15" s="30">
        <f t="shared" si="7"/>
        <v>3.4016340503068905E-2</v>
      </c>
      <c r="H15" s="31">
        <f t="shared" si="8"/>
        <v>-3.8048629584321378E-7</v>
      </c>
      <c r="I15" s="24">
        <f t="shared" si="9"/>
        <v>-1.1619059448009882E-8</v>
      </c>
      <c r="J15" s="24">
        <f t="shared" si="4"/>
        <v>-4.6476237792039541</v>
      </c>
      <c r="K15" s="25">
        <v>-6.69</v>
      </c>
      <c r="L15" s="32">
        <f t="shared" si="5"/>
        <v>4.1713006272731405</v>
      </c>
      <c r="M15" s="15"/>
      <c r="N15" s="15"/>
      <c r="O15" s="15"/>
      <c r="P15" s="15"/>
      <c r="Q15" s="16"/>
      <c r="U15" s="17"/>
    </row>
    <row r="16" spans="1:21" ht="19" x14ac:dyDescent="0.25">
      <c r="A16" s="25">
        <v>2.5</v>
      </c>
      <c r="B16" s="24">
        <f t="shared" si="6"/>
        <v>22.5</v>
      </c>
      <c r="C16" s="26">
        <f t="shared" si="0"/>
        <v>0.2253</v>
      </c>
      <c r="D16" s="27">
        <f t="shared" si="1"/>
        <v>9.986684420772303E-2</v>
      </c>
      <c r="E16" s="28">
        <f t="shared" si="2"/>
        <v>4.0505992010652463E-2</v>
      </c>
      <c r="F16" s="29">
        <f t="shared" si="3"/>
        <v>2.4654832347140037</v>
      </c>
      <c r="G16" s="30">
        <f t="shared" si="7"/>
        <v>3.4427679643641788E-2</v>
      </c>
      <c r="H16" s="31">
        <f t="shared" si="8"/>
        <v>-3.8940828510171454E-7</v>
      </c>
      <c r="I16" s="24">
        <f t="shared" si="9"/>
        <v>-8.9219892585007626E-9</v>
      </c>
      <c r="J16" s="24">
        <f t="shared" si="4"/>
        <v>-3.5687957034003057</v>
      </c>
      <c r="K16" s="25">
        <v>-3.35</v>
      </c>
      <c r="L16" s="32">
        <f t="shared" si="5"/>
        <v>4.7871559826434512E-2</v>
      </c>
      <c r="M16" s="15"/>
      <c r="N16" s="15"/>
      <c r="O16" s="15"/>
      <c r="P16" s="15"/>
      <c r="Q16" s="16"/>
      <c r="U16" s="17"/>
    </row>
    <row r="17" spans="1:21" ht="19" x14ac:dyDescent="0.25">
      <c r="A17" s="25">
        <v>2.5</v>
      </c>
      <c r="B17" s="24">
        <f t="shared" si="6"/>
        <v>25</v>
      </c>
      <c r="C17" s="26">
        <f t="shared" si="0"/>
        <v>0.2278</v>
      </c>
      <c r="D17" s="27">
        <f t="shared" si="1"/>
        <v>0.10974539069359086</v>
      </c>
      <c r="E17" s="28">
        <f t="shared" si="2"/>
        <v>4.0061457418788415E-2</v>
      </c>
      <c r="F17" s="29">
        <f t="shared" si="3"/>
        <v>2.7394258163488927</v>
      </c>
      <c r="G17" s="30">
        <f t="shared" si="7"/>
        <v>3.4664566990341157E-2</v>
      </c>
      <c r="H17" s="31">
        <f t="shared" si="8"/>
        <v>-3.964384248485003E-7</v>
      </c>
      <c r="I17" s="24">
        <f t="shared" si="9"/>
        <v>-7.0301397467857563E-9</v>
      </c>
      <c r="J17" s="24">
        <f t="shared" si="4"/>
        <v>-2.8120558987143029</v>
      </c>
      <c r="K17" s="25">
        <v>-2.93</v>
      </c>
      <c r="L17" s="32">
        <f t="shared" si="5"/>
        <v>1.3910811028090803E-2</v>
      </c>
      <c r="M17" s="15"/>
      <c r="N17" s="15"/>
      <c r="O17" s="15"/>
      <c r="P17" s="15"/>
      <c r="Q17" s="16"/>
      <c r="U17" s="17"/>
    </row>
    <row r="18" spans="1:21" ht="19" x14ac:dyDescent="0.25">
      <c r="A18" s="25">
        <v>2.5</v>
      </c>
      <c r="B18" s="24">
        <f t="shared" si="6"/>
        <v>27.5</v>
      </c>
      <c r="C18" s="26">
        <f t="shared" si="0"/>
        <v>0.2303</v>
      </c>
      <c r="D18" s="27">
        <f t="shared" si="1"/>
        <v>0.11940946591402518</v>
      </c>
      <c r="E18" s="28">
        <f t="shared" si="2"/>
        <v>3.9626574033868871E-2</v>
      </c>
      <c r="F18" s="29">
        <f t="shared" si="3"/>
        <v>3.0133683979837822</v>
      </c>
      <c r="G18" s="30">
        <f t="shared" si="7"/>
        <v>3.4778124916183303E-2</v>
      </c>
      <c r="H18" s="31">
        <f t="shared" si="8"/>
        <v>-4.0210210215104353E-7</v>
      </c>
      <c r="I18" s="24">
        <f t="shared" si="9"/>
        <v>-5.6636773025432379E-9</v>
      </c>
      <c r="J18" s="24">
        <f t="shared" si="4"/>
        <v>-2.2654709210172954</v>
      </c>
      <c r="K18" s="25">
        <v>-1.67</v>
      </c>
      <c r="L18" s="32">
        <f t="shared" si="5"/>
        <v>0.35458561777718617</v>
      </c>
      <c r="M18" s="15"/>
      <c r="N18" s="15"/>
      <c r="O18" s="15"/>
      <c r="P18" s="15"/>
      <c r="Q18" s="16"/>
      <c r="U18" s="17"/>
    </row>
    <row r="19" spans="1:21" ht="19" x14ac:dyDescent="0.25">
      <c r="A19" s="25">
        <v>2.5</v>
      </c>
      <c r="B19" s="24">
        <f t="shared" si="6"/>
        <v>30</v>
      </c>
      <c r="C19" s="26">
        <f t="shared" si="0"/>
        <v>0.23280000000000001</v>
      </c>
      <c r="D19" s="27">
        <f t="shared" si="1"/>
        <v>0.12886597938144329</v>
      </c>
      <c r="E19" s="28">
        <f t="shared" si="2"/>
        <v>3.920103092783505E-2</v>
      </c>
      <c r="F19" s="29">
        <f t="shared" si="3"/>
        <v>3.2873109796186717</v>
      </c>
      <c r="G19" s="30">
        <f t="shared" si="7"/>
        <v>3.480252505391053E-2</v>
      </c>
      <c r="H19" s="31">
        <f t="shared" si="8"/>
        <v>-4.0675225875043498E-7</v>
      </c>
      <c r="I19" s="24">
        <f t="shared" si="9"/>
        <v>-4.6501565993914454E-9</v>
      </c>
      <c r="J19" s="24">
        <f t="shared" si="4"/>
        <v>-1.8600626397565785</v>
      </c>
      <c r="K19" s="25">
        <v>-1.67</v>
      </c>
      <c r="L19" s="32">
        <f t="shared" si="5"/>
        <v>3.6123807031238957E-2</v>
      </c>
      <c r="M19" s="15"/>
      <c r="N19" s="15"/>
      <c r="O19" s="15"/>
      <c r="P19" s="15"/>
      <c r="Q19" s="16"/>
      <c r="U19" s="17"/>
    </row>
    <row r="20" spans="1:21" ht="19" x14ac:dyDescent="0.25">
      <c r="A20" s="25">
        <v>2.5</v>
      </c>
      <c r="B20" s="24">
        <f t="shared" si="6"/>
        <v>32.5</v>
      </c>
      <c r="C20" s="26">
        <f t="shared" si="0"/>
        <v>0.23530000000000001</v>
      </c>
      <c r="D20" s="27">
        <f t="shared" si="1"/>
        <v>0.13812154696132595</v>
      </c>
      <c r="E20" s="28">
        <f t="shared" si="2"/>
        <v>3.8784530386740332E-2</v>
      </c>
      <c r="F20" s="29">
        <f t="shared" si="3"/>
        <v>3.5612535612535607</v>
      </c>
      <c r="G20" s="30">
        <f t="shared" si="7"/>
        <v>3.4761255242228159E-2</v>
      </c>
      <c r="H20" s="31">
        <f t="shared" si="8"/>
        <v>-4.1063278476436582E-7</v>
      </c>
      <c r="I20" s="24">
        <f>H20-H19</f>
        <v>-3.8805260139308411E-9</v>
      </c>
      <c r="J20" s="24">
        <f t="shared" si="4"/>
        <v>-1.5522104055723367</v>
      </c>
      <c r="K20" s="25">
        <v>-1.26</v>
      </c>
      <c r="L20" s="32">
        <f t="shared" si="5"/>
        <v>8.5386921124749493E-2</v>
      </c>
      <c r="M20" s="15"/>
      <c r="N20" s="15"/>
      <c r="O20" s="15"/>
      <c r="P20" s="15"/>
      <c r="Q20" s="16"/>
      <c r="U20" s="17"/>
    </row>
    <row r="21" spans="1:21" ht="19" x14ac:dyDescent="0.25">
      <c r="A21" s="25">
        <v>2.5</v>
      </c>
      <c r="B21" s="24">
        <f t="shared" si="6"/>
        <v>35</v>
      </c>
      <c r="C21" s="26">
        <f t="shared" si="0"/>
        <v>0.23780000000000001</v>
      </c>
      <c r="D21" s="27">
        <f t="shared" si="1"/>
        <v>0.1471825063078217</v>
      </c>
      <c r="E21" s="28">
        <f t="shared" si="2"/>
        <v>3.8376787216148019E-2</v>
      </c>
      <c r="F21" s="29">
        <f t="shared" si="3"/>
        <v>3.8351961428884511</v>
      </c>
      <c r="G21" s="30">
        <f t="shared" si="7"/>
        <v>3.4670876479378249E-2</v>
      </c>
      <c r="H21" s="31">
        <f t="shared" si="8"/>
        <v>-4.1391666632193792E-7</v>
      </c>
      <c r="I21" s="24">
        <f t="shared" si="9"/>
        <v>-3.2838815575721E-9</v>
      </c>
      <c r="J21" s="24">
        <f t="shared" si="4"/>
        <v>-1.3135526230288401</v>
      </c>
      <c r="K21" s="25">
        <v>-0.84</v>
      </c>
      <c r="L21" s="32">
        <f t="shared" si="5"/>
        <v>0.22425208677749481</v>
      </c>
      <c r="M21" s="15"/>
      <c r="N21" s="15"/>
      <c r="O21" s="15"/>
      <c r="P21" s="15"/>
      <c r="Q21" s="16"/>
      <c r="U21" s="17"/>
    </row>
    <row r="22" spans="1:21" ht="19" x14ac:dyDescent="0.25">
      <c r="A22" s="25">
        <v>2.5</v>
      </c>
      <c r="B22" s="24">
        <f t="shared" si="6"/>
        <v>37.5</v>
      </c>
      <c r="C22" s="26">
        <f t="shared" si="0"/>
        <v>0.24030000000000001</v>
      </c>
      <c r="D22" s="27">
        <f t="shared" si="1"/>
        <v>0.1560549313358302</v>
      </c>
      <c r="E22" s="28">
        <f t="shared" si="2"/>
        <v>3.7977528089887636E-2</v>
      </c>
      <c r="F22" s="29">
        <f t="shared" si="3"/>
        <v>4.1091387245233406</v>
      </c>
      <c r="G22" s="30">
        <f t="shared" si="7"/>
        <v>3.4543334563370012E-2</v>
      </c>
      <c r="H22" s="31">
        <f t="shared" si="8"/>
        <v>-4.1672952618902136E-7</v>
      </c>
      <c r="I22" s="24">
        <f t="shared" si="9"/>
        <v>-2.8128598670834395E-9</v>
      </c>
      <c r="J22" s="24">
        <f t="shared" si="4"/>
        <v>-1.1251439468333759</v>
      </c>
      <c r="K22" s="25">
        <v>-0.42</v>
      </c>
      <c r="L22" s="32">
        <f t="shared" si="5"/>
        <v>0.497227985755751</v>
      </c>
      <c r="M22" s="15"/>
      <c r="N22" s="15"/>
      <c r="O22" s="15"/>
      <c r="P22" s="15"/>
      <c r="Q22" s="16"/>
      <c r="U22" s="17"/>
    </row>
    <row r="23" spans="1:21" ht="15.75" customHeight="1" x14ac:dyDescent="0.25">
      <c r="A23" s="15"/>
      <c r="B23" s="15"/>
      <c r="N23" s="15"/>
      <c r="O23" s="15"/>
      <c r="P23" s="15"/>
      <c r="Q23" s="16"/>
      <c r="U23" s="17"/>
    </row>
    <row r="24" spans="1:21" ht="15.75" customHeight="1" x14ac:dyDescent="0.25">
      <c r="A24" s="15"/>
      <c r="B24" s="15"/>
      <c r="N24" s="15"/>
      <c r="O24" s="15"/>
      <c r="P24" s="15"/>
      <c r="Q24" s="16"/>
      <c r="U24" s="17"/>
    </row>
    <row r="25" spans="1:21" ht="15.75" customHeight="1" x14ac:dyDescent="0.25">
      <c r="A25" s="15"/>
      <c r="B25" s="15"/>
      <c r="N25" s="15"/>
      <c r="O25" s="15"/>
      <c r="P25" s="15"/>
      <c r="Q25" s="16"/>
      <c r="U25" s="17"/>
    </row>
    <row r="26" spans="1:21" ht="15.75" customHeight="1" x14ac:dyDescent="0.25">
      <c r="A26" s="15"/>
      <c r="B26" s="15"/>
      <c r="N26" s="15"/>
      <c r="O26" s="15"/>
      <c r="P26" s="15"/>
      <c r="Q26" s="16"/>
      <c r="U26" s="17"/>
    </row>
    <row r="27" spans="1:21" ht="15.75" customHeight="1" x14ac:dyDescent="0.25">
      <c r="A27" s="15" t="s">
        <v>27</v>
      </c>
      <c r="B27" s="15" t="s">
        <v>28</v>
      </c>
      <c r="N27" s="15"/>
      <c r="O27" s="15"/>
      <c r="P27" s="15"/>
      <c r="Q27" s="16"/>
    </row>
    <row r="28" spans="1:21" ht="15.75" customHeight="1" x14ac:dyDescent="0.25">
      <c r="A28" s="15">
        <f>8.314*298.815*LN(H2*0.001)</f>
        <v>-27443.688790966902</v>
      </c>
      <c r="B28" s="36">
        <f>(A28-H3*1000)/(-298.15)</f>
        <v>-76.337652033400076</v>
      </c>
      <c r="N28" s="15"/>
      <c r="O28" s="15"/>
      <c r="P28" s="15"/>
      <c r="Q28" s="16"/>
    </row>
    <row r="29" spans="1:21" ht="19" x14ac:dyDescent="0.25">
      <c r="A29" s="15"/>
      <c r="N29" s="16"/>
      <c r="O29" s="16"/>
      <c r="P29" s="16"/>
      <c r="Q29" s="16"/>
    </row>
    <row r="30" spans="1:21" ht="14" x14ac:dyDescent="0.2"/>
    <row r="43" spans="4:4" ht="14" x14ac:dyDescent="0.2"/>
    <row r="44" spans="4:4" ht="14" x14ac:dyDescent="0.2"/>
    <row r="45" spans="4:4" ht="14" x14ac:dyDescent="0.2"/>
    <row r="46" spans="4:4" ht="19" x14ac:dyDescent="0.25">
      <c r="D46" s="15"/>
    </row>
    <row r="47" spans="4:4" ht="19" x14ac:dyDescent="0.25">
      <c r="D47" s="15"/>
    </row>
    <row r="48" spans="4:4" ht="19" x14ac:dyDescent="0.25">
      <c r="D48" s="15"/>
    </row>
    <row r="49" spans="4:9" ht="19" x14ac:dyDescent="0.25">
      <c r="D49" s="15"/>
    </row>
    <row r="50" spans="4:9" ht="19" x14ac:dyDescent="0.25">
      <c r="D50" s="15"/>
    </row>
    <row r="51" spans="4:9" ht="19" x14ac:dyDescent="0.25">
      <c r="D51" s="15"/>
      <c r="I51" s="8">
        <f>-46.024+17.99</f>
        <v>-28.034000000000002</v>
      </c>
    </row>
    <row r="52" spans="4:9" ht="19" x14ac:dyDescent="0.25">
      <c r="D52" s="15"/>
      <c r="I52" s="8">
        <f>I51/298</f>
        <v>-9.4073825503355718E-2</v>
      </c>
    </row>
    <row r="53" spans="4:9" ht="19" x14ac:dyDescent="0.25">
      <c r="D53" s="15"/>
    </row>
    <row r="54" spans="4:9" ht="19" x14ac:dyDescent="0.25">
      <c r="D54" s="15"/>
    </row>
    <row r="55" spans="4:9" ht="19" x14ac:dyDescent="0.25">
      <c r="D55" s="15"/>
    </row>
    <row r="56" spans="4:9" ht="19" x14ac:dyDescent="0.25">
      <c r="D56" s="15"/>
    </row>
    <row r="57" spans="4:9" ht="19" x14ac:dyDescent="0.25">
      <c r="D57" s="15"/>
    </row>
    <row r="58" spans="4:9" ht="19" x14ac:dyDescent="0.25">
      <c r="D58" s="15"/>
    </row>
    <row r="59" spans="4:9" ht="19" x14ac:dyDescent="0.25">
      <c r="D59" s="15"/>
    </row>
    <row r="60" spans="4:9" ht="19" x14ac:dyDescent="0.25">
      <c r="D60" s="15"/>
    </row>
    <row r="61" spans="4:9" ht="19" x14ac:dyDescent="0.25">
      <c r="D61" s="15"/>
    </row>
    <row r="62" spans="4:9" ht="19" x14ac:dyDescent="0.25">
      <c r="D62" s="15"/>
    </row>
    <row r="63" spans="4:9" ht="19" x14ac:dyDescent="0.25">
      <c r="D63" s="15"/>
    </row>
    <row r="64" spans="4:9" ht="19" x14ac:dyDescent="0.25">
      <c r="D64" s="15"/>
    </row>
    <row r="65" spans="4:4" ht="19" x14ac:dyDescent="0.25">
      <c r="D65" s="15"/>
    </row>
    <row r="66" spans="4:4" ht="19" x14ac:dyDescent="0.25">
      <c r="D66" s="15"/>
    </row>
    <row r="67" spans="4:4" ht="14" x14ac:dyDescent="0.2"/>
    <row r="68" spans="4:4" ht="14" x14ac:dyDescent="0.2"/>
    <row r="69" spans="4:4" ht="14" x14ac:dyDescent="0.2"/>
    <row r="70" spans="4:4" ht="14" x14ac:dyDescent="0.2"/>
    <row r="71" spans="4:4" ht="14" x14ac:dyDescent="0.2"/>
    <row r="72" spans="4:4" ht="14" x14ac:dyDescent="0.2"/>
    <row r="73" spans="4:4" ht="14" x14ac:dyDescent="0.2"/>
    <row r="74" spans="4:4" ht="14" x14ac:dyDescent="0.2"/>
    <row r="75" spans="4:4" ht="14" x14ac:dyDescent="0.2"/>
    <row r="76" spans="4:4" ht="14" x14ac:dyDescent="0.2"/>
    <row r="77" spans="4:4" ht="14" x14ac:dyDescent="0.2"/>
    <row r="78" spans="4:4" ht="14" x14ac:dyDescent="0.2"/>
    <row r="79" spans="4:4" ht="14" x14ac:dyDescent="0.2"/>
    <row r="80" spans="4:4" ht="14" x14ac:dyDescent="0.2"/>
    <row r="81" spans="1:7" ht="14" x14ac:dyDescent="0.2"/>
    <row r="82" spans="1:7" ht="14" x14ac:dyDescent="0.2"/>
    <row r="83" spans="1:7" ht="14" x14ac:dyDescent="0.2">
      <c r="A83" s="19"/>
      <c r="B83" s="19"/>
      <c r="C83" s="20"/>
      <c r="D83" s="20"/>
      <c r="E83" s="20"/>
      <c r="F83" s="20"/>
      <c r="G83" s="20"/>
    </row>
    <row r="84" spans="1:7" ht="14" x14ac:dyDescent="0.2">
      <c r="A84" s="19"/>
      <c r="B84" s="19"/>
      <c r="C84" s="19"/>
      <c r="D84" s="19"/>
      <c r="E84" s="19"/>
      <c r="F84" s="19"/>
      <c r="G84" s="19"/>
    </row>
    <row r="85" spans="1:7" ht="14" x14ac:dyDescent="0.2">
      <c r="A85" s="20"/>
      <c r="B85" s="19"/>
      <c r="C85" s="20"/>
      <c r="D85" s="20"/>
      <c r="E85" s="20"/>
      <c r="F85" s="20"/>
      <c r="G85" s="20"/>
    </row>
    <row r="86" spans="1:7" ht="14" x14ac:dyDescent="0.2">
      <c r="A86" s="20"/>
      <c r="B86" s="19"/>
      <c r="C86" s="20"/>
      <c r="D86" s="20"/>
      <c r="E86" s="20"/>
      <c r="F86" s="20"/>
      <c r="G86" s="20"/>
    </row>
    <row r="87" spans="1:7" ht="14" x14ac:dyDescent="0.2">
      <c r="A87" s="20"/>
      <c r="B87" s="19"/>
      <c r="C87" s="20"/>
      <c r="D87" s="20"/>
      <c r="E87" s="20"/>
      <c r="F87" s="20"/>
      <c r="G87" s="20"/>
    </row>
    <row r="88" spans="1:7" ht="14" x14ac:dyDescent="0.2">
      <c r="A88" s="20"/>
      <c r="B88" s="19"/>
      <c r="C88" s="20"/>
      <c r="D88" s="20"/>
      <c r="E88" s="20"/>
      <c r="F88" s="20"/>
      <c r="G88" s="20"/>
    </row>
    <row r="89" spans="1:7" ht="14" x14ac:dyDescent="0.2">
      <c r="A89" s="20"/>
      <c r="B89" s="19"/>
      <c r="C89" s="20"/>
      <c r="D89" s="20"/>
      <c r="E89" s="20"/>
      <c r="F89" s="20"/>
      <c r="G89" s="20"/>
    </row>
    <row r="90" spans="1:7" ht="14" x14ac:dyDescent="0.2"/>
    <row r="91" spans="1:7" ht="14" x14ac:dyDescent="0.2"/>
    <row r="92" spans="1:7" ht="14" x14ac:dyDescent="0.2"/>
    <row r="93" spans="1:7" ht="14" x14ac:dyDescent="0.2"/>
    <row r="94" spans="1:7" ht="14" x14ac:dyDescent="0.2"/>
    <row r="95" spans="1:7" ht="14" x14ac:dyDescent="0.2"/>
    <row r="96" spans="1:7" ht="14" x14ac:dyDescent="0.2"/>
    <row r="97" ht="14" x14ac:dyDescent="0.2"/>
    <row r="98" ht="14" x14ac:dyDescent="0.2"/>
    <row r="99" ht="14" x14ac:dyDescent="0.2"/>
    <row r="100" ht="14" x14ac:dyDescent="0.2"/>
    <row r="101" ht="14" x14ac:dyDescent="0.2"/>
    <row r="102" ht="14" x14ac:dyDescent="0.2"/>
    <row r="103" ht="14" x14ac:dyDescent="0.2"/>
    <row r="104" ht="14" x14ac:dyDescent="0.2"/>
    <row r="105" ht="14" x14ac:dyDescent="0.2"/>
    <row r="106" ht="14" x14ac:dyDescent="0.2"/>
    <row r="107" ht="14" x14ac:dyDescent="0.2"/>
    <row r="108" ht="14" x14ac:dyDescent="0.2"/>
    <row r="109" ht="14" x14ac:dyDescent="0.2"/>
    <row r="110" ht="14" x14ac:dyDescent="0.2"/>
    <row r="111" ht="14" x14ac:dyDescent="0.2"/>
    <row r="112" ht="14" x14ac:dyDescent="0.2"/>
    <row r="113" ht="14" x14ac:dyDescent="0.2"/>
    <row r="114" ht="14" x14ac:dyDescent="0.2"/>
    <row r="115" ht="14" x14ac:dyDescent="0.2"/>
    <row r="116" ht="14" x14ac:dyDescent="0.2"/>
    <row r="117" ht="14" x14ac:dyDescent="0.2"/>
    <row r="118" ht="14" x14ac:dyDescent="0.2"/>
    <row r="119" ht="14" x14ac:dyDescent="0.2"/>
    <row r="120" ht="14" x14ac:dyDescent="0.2"/>
    <row r="121" ht="14" x14ac:dyDescent="0.2"/>
    <row r="122" ht="14" x14ac:dyDescent="0.2"/>
    <row r="123" ht="14" x14ac:dyDescent="0.2"/>
    <row r="124" ht="14" x14ac:dyDescent="0.2"/>
    <row r="125" ht="14" x14ac:dyDescent="0.2"/>
    <row r="126" ht="14" x14ac:dyDescent="0.2"/>
    <row r="127" ht="14" x14ac:dyDescent="0.2"/>
    <row r="128" ht="14" x14ac:dyDescent="0.2"/>
    <row r="129" ht="14" x14ac:dyDescent="0.2"/>
    <row r="130" ht="14" x14ac:dyDescent="0.2"/>
    <row r="131" ht="14" x14ac:dyDescent="0.2"/>
    <row r="132" ht="14" x14ac:dyDescent="0.2"/>
    <row r="133" ht="14" x14ac:dyDescent="0.2"/>
    <row r="134" ht="14" x14ac:dyDescent="0.2"/>
    <row r="135" ht="14" x14ac:dyDescent="0.2"/>
    <row r="136" ht="14" x14ac:dyDescent="0.2"/>
    <row r="137" ht="14" x14ac:dyDescent="0.2"/>
    <row r="138" ht="14" x14ac:dyDescent="0.2"/>
    <row r="139" ht="14" x14ac:dyDescent="0.2"/>
    <row r="140" ht="14" x14ac:dyDescent="0.2"/>
    <row r="141" ht="14" x14ac:dyDescent="0.2"/>
    <row r="142" ht="14" x14ac:dyDescent="0.2"/>
    <row r="143" ht="14" x14ac:dyDescent="0.2"/>
    <row r="144" ht="14" x14ac:dyDescent="0.2"/>
    <row r="145" ht="14" x14ac:dyDescent="0.2"/>
    <row r="146" ht="14" x14ac:dyDescent="0.2"/>
    <row r="147" ht="14" x14ac:dyDescent="0.2"/>
    <row r="148" ht="14" x14ac:dyDescent="0.2"/>
    <row r="149" ht="14" x14ac:dyDescent="0.2"/>
    <row r="150" ht="14" x14ac:dyDescent="0.2"/>
    <row r="151" ht="14" x14ac:dyDescent="0.2"/>
    <row r="152" ht="14" x14ac:dyDescent="0.2"/>
    <row r="153" ht="14" x14ac:dyDescent="0.2"/>
    <row r="154" ht="14" x14ac:dyDescent="0.2"/>
    <row r="155" ht="14" x14ac:dyDescent="0.2"/>
    <row r="156" ht="14" x14ac:dyDescent="0.2"/>
    <row r="157" ht="14" x14ac:dyDescent="0.2"/>
    <row r="158" ht="14" x14ac:dyDescent="0.2"/>
    <row r="159" ht="14" x14ac:dyDescent="0.2"/>
    <row r="160" ht="14" x14ac:dyDescent="0.2"/>
    <row r="161" ht="14" x14ac:dyDescent="0.2"/>
    <row r="162" ht="14" x14ac:dyDescent="0.2"/>
    <row r="163" ht="14" x14ac:dyDescent="0.2"/>
    <row r="164" ht="14" x14ac:dyDescent="0.2"/>
    <row r="165" ht="14" x14ac:dyDescent="0.2"/>
    <row r="166" ht="14" x14ac:dyDescent="0.2"/>
    <row r="167" ht="14" x14ac:dyDescent="0.2"/>
    <row r="168" ht="14" x14ac:dyDescent="0.2"/>
    <row r="169" ht="14" x14ac:dyDescent="0.2"/>
    <row r="170" ht="14" x14ac:dyDescent="0.2"/>
    <row r="171" ht="14" x14ac:dyDescent="0.2"/>
    <row r="172" ht="14" x14ac:dyDescent="0.2"/>
    <row r="173" ht="14" x14ac:dyDescent="0.2"/>
    <row r="174" ht="14" x14ac:dyDescent="0.2"/>
    <row r="175" ht="14" x14ac:dyDescent="0.2"/>
    <row r="176" ht="14" x14ac:dyDescent="0.2"/>
    <row r="177" ht="14" x14ac:dyDescent="0.2"/>
    <row r="178" ht="14" x14ac:dyDescent="0.2"/>
    <row r="179" ht="14" x14ac:dyDescent="0.2"/>
    <row r="180" ht="14" x14ac:dyDescent="0.2"/>
    <row r="181" ht="14" x14ac:dyDescent="0.2"/>
    <row r="182" ht="14" x14ac:dyDescent="0.2"/>
    <row r="183" ht="14" x14ac:dyDescent="0.2"/>
    <row r="184" ht="14" x14ac:dyDescent="0.2"/>
    <row r="185" ht="14" x14ac:dyDescent="0.2"/>
    <row r="186" ht="14" x14ac:dyDescent="0.2"/>
    <row r="187" ht="14" x14ac:dyDescent="0.2"/>
    <row r="188" ht="14" x14ac:dyDescent="0.2"/>
    <row r="189" ht="14" x14ac:dyDescent="0.2"/>
    <row r="190" ht="14" x14ac:dyDescent="0.2"/>
    <row r="191" ht="14" x14ac:dyDescent="0.2"/>
    <row r="192" ht="14" x14ac:dyDescent="0.2"/>
    <row r="193" ht="14" x14ac:dyDescent="0.2"/>
    <row r="194" ht="14" x14ac:dyDescent="0.2"/>
    <row r="195" ht="14" x14ac:dyDescent="0.2"/>
    <row r="196" ht="14" x14ac:dyDescent="0.2"/>
    <row r="197" ht="14" x14ac:dyDescent="0.2"/>
    <row r="198" ht="14" x14ac:dyDescent="0.2"/>
    <row r="199" ht="14" x14ac:dyDescent="0.2"/>
    <row r="200" ht="14" x14ac:dyDescent="0.2"/>
    <row r="201" ht="14" x14ac:dyDescent="0.2"/>
    <row r="202" ht="14" x14ac:dyDescent="0.2"/>
    <row r="203" ht="14" x14ac:dyDescent="0.2"/>
    <row r="204" ht="14" x14ac:dyDescent="0.2"/>
    <row r="205" ht="14" x14ac:dyDescent="0.2"/>
    <row r="206" ht="14" x14ac:dyDescent="0.2"/>
    <row r="207" ht="14" x14ac:dyDescent="0.2"/>
    <row r="208" ht="14" x14ac:dyDescent="0.2"/>
    <row r="209" ht="14" x14ac:dyDescent="0.2"/>
    <row r="210" ht="14" x14ac:dyDescent="0.2"/>
    <row r="211" ht="14" x14ac:dyDescent="0.2"/>
    <row r="212" ht="14" x14ac:dyDescent="0.2"/>
    <row r="213" ht="14" x14ac:dyDescent="0.2"/>
    <row r="214" ht="14" x14ac:dyDescent="0.2"/>
    <row r="215" ht="14" x14ac:dyDescent="0.2"/>
    <row r="216" ht="14" x14ac:dyDescent="0.2"/>
    <row r="217" ht="14" x14ac:dyDescent="0.2"/>
    <row r="218" ht="14" x14ac:dyDescent="0.2"/>
    <row r="219" ht="14" x14ac:dyDescent="0.2"/>
    <row r="220" ht="14" x14ac:dyDescent="0.2"/>
    <row r="221" ht="14" x14ac:dyDescent="0.2"/>
    <row r="222" ht="14" x14ac:dyDescent="0.2"/>
    <row r="223" ht="14" x14ac:dyDescent="0.2"/>
    <row r="224" ht="14" x14ac:dyDescent="0.2"/>
    <row r="225" ht="14" x14ac:dyDescent="0.2"/>
    <row r="226" ht="14" x14ac:dyDescent="0.2"/>
    <row r="227" ht="14" x14ac:dyDescent="0.2"/>
    <row r="228" ht="14" x14ac:dyDescent="0.2"/>
    <row r="229" ht="14" x14ac:dyDescent="0.2"/>
    <row r="230" ht="14" x14ac:dyDescent="0.2"/>
    <row r="231" ht="14" x14ac:dyDescent="0.2"/>
    <row r="232" ht="14" x14ac:dyDescent="0.2"/>
    <row r="233" ht="14" x14ac:dyDescent="0.2"/>
    <row r="234" ht="14" x14ac:dyDescent="0.2"/>
    <row r="235" ht="14" x14ac:dyDescent="0.2"/>
    <row r="236" ht="14" x14ac:dyDescent="0.2"/>
    <row r="237" ht="14" x14ac:dyDescent="0.2"/>
    <row r="238" ht="14" x14ac:dyDescent="0.2"/>
    <row r="239" ht="14" x14ac:dyDescent="0.2"/>
    <row r="240" ht="14" x14ac:dyDescent="0.2"/>
    <row r="241" ht="14" x14ac:dyDescent="0.2"/>
    <row r="242" ht="14" x14ac:dyDescent="0.2"/>
    <row r="243" ht="14" x14ac:dyDescent="0.2"/>
    <row r="244" ht="14" x14ac:dyDescent="0.2"/>
    <row r="245" ht="14" x14ac:dyDescent="0.2"/>
    <row r="246" ht="14" x14ac:dyDescent="0.2"/>
    <row r="247" ht="14" x14ac:dyDescent="0.2"/>
    <row r="248" ht="14" x14ac:dyDescent="0.2"/>
    <row r="249" ht="14" x14ac:dyDescent="0.2"/>
    <row r="250" ht="14" x14ac:dyDescent="0.2"/>
    <row r="251" ht="14" x14ac:dyDescent="0.2"/>
    <row r="252" ht="14" x14ac:dyDescent="0.2"/>
    <row r="253" ht="14" x14ac:dyDescent="0.2"/>
    <row r="254" ht="14" x14ac:dyDescent="0.2"/>
    <row r="255" ht="14" x14ac:dyDescent="0.2"/>
    <row r="256" ht="14" x14ac:dyDescent="0.2"/>
    <row r="257" ht="14" x14ac:dyDescent="0.2"/>
    <row r="258" ht="14" x14ac:dyDescent="0.2"/>
    <row r="259" ht="14" x14ac:dyDescent="0.2"/>
    <row r="260" ht="14" x14ac:dyDescent="0.2"/>
    <row r="261" ht="14" x14ac:dyDescent="0.2"/>
    <row r="262" ht="14" x14ac:dyDescent="0.2"/>
    <row r="263" ht="14" x14ac:dyDescent="0.2"/>
    <row r="264" ht="14" x14ac:dyDescent="0.2"/>
    <row r="265" ht="14" x14ac:dyDescent="0.2"/>
    <row r="266" ht="14" x14ac:dyDescent="0.2"/>
    <row r="267" ht="14" x14ac:dyDescent="0.2"/>
    <row r="268" ht="14" x14ac:dyDescent="0.2"/>
    <row r="269" ht="14" x14ac:dyDescent="0.2"/>
    <row r="270" ht="14" x14ac:dyDescent="0.2"/>
    <row r="271" ht="14" x14ac:dyDescent="0.2"/>
    <row r="272" ht="14" x14ac:dyDescent="0.2"/>
    <row r="273" ht="14" x14ac:dyDescent="0.2"/>
    <row r="274" ht="14" x14ac:dyDescent="0.2"/>
    <row r="275" ht="14" x14ac:dyDescent="0.2"/>
    <row r="276" ht="14" x14ac:dyDescent="0.2"/>
    <row r="277" ht="14" x14ac:dyDescent="0.2"/>
    <row r="278" ht="14" x14ac:dyDescent="0.2"/>
    <row r="279" ht="14" x14ac:dyDescent="0.2"/>
    <row r="280" ht="14" x14ac:dyDescent="0.2"/>
    <row r="281" ht="14" x14ac:dyDescent="0.2"/>
    <row r="282" ht="14" x14ac:dyDescent="0.2"/>
    <row r="283" ht="14" x14ac:dyDescent="0.2"/>
    <row r="284" ht="14" x14ac:dyDescent="0.2"/>
    <row r="285" ht="14" x14ac:dyDescent="0.2"/>
    <row r="286" ht="14" x14ac:dyDescent="0.2"/>
    <row r="287" ht="14" x14ac:dyDescent="0.2"/>
    <row r="288" ht="14" x14ac:dyDescent="0.2"/>
    <row r="289" ht="14" x14ac:dyDescent="0.2"/>
    <row r="290" ht="14" x14ac:dyDescent="0.2"/>
    <row r="291" ht="14" x14ac:dyDescent="0.2"/>
    <row r="292" ht="14" x14ac:dyDescent="0.2"/>
    <row r="293" ht="14" x14ac:dyDescent="0.2"/>
    <row r="294" ht="14" x14ac:dyDescent="0.2"/>
    <row r="295" ht="14" x14ac:dyDescent="0.2"/>
    <row r="296" ht="14" x14ac:dyDescent="0.2"/>
    <row r="297" ht="14" x14ac:dyDescent="0.2"/>
    <row r="298" ht="14" x14ac:dyDescent="0.2"/>
    <row r="299" ht="14" x14ac:dyDescent="0.2"/>
    <row r="300" ht="14" x14ac:dyDescent="0.2"/>
    <row r="301" ht="14" x14ac:dyDescent="0.2"/>
    <row r="302" ht="14" x14ac:dyDescent="0.2"/>
    <row r="303" ht="14" x14ac:dyDescent="0.2"/>
    <row r="304" ht="14" x14ac:dyDescent="0.2"/>
    <row r="305" ht="14" x14ac:dyDescent="0.2"/>
    <row r="306" ht="14" x14ac:dyDescent="0.2"/>
    <row r="307" ht="14" x14ac:dyDescent="0.2"/>
    <row r="308" ht="14" x14ac:dyDescent="0.2"/>
    <row r="309" ht="14" x14ac:dyDescent="0.2"/>
    <row r="310" ht="14" x14ac:dyDescent="0.2"/>
    <row r="311" ht="14" x14ac:dyDescent="0.2"/>
    <row r="312" ht="14" x14ac:dyDescent="0.2"/>
    <row r="313" ht="14" x14ac:dyDescent="0.2"/>
    <row r="314" ht="14" x14ac:dyDescent="0.2"/>
    <row r="315" ht="14" x14ac:dyDescent="0.2"/>
    <row r="316" ht="14" x14ac:dyDescent="0.2"/>
    <row r="317" ht="14" x14ac:dyDescent="0.2"/>
    <row r="318" ht="14" x14ac:dyDescent="0.2"/>
    <row r="319" ht="14" x14ac:dyDescent="0.2"/>
    <row r="320" ht="14" x14ac:dyDescent="0.2"/>
    <row r="321" ht="14" x14ac:dyDescent="0.2"/>
    <row r="322" ht="14" x14ac:dyDescent="0.2"/>
    <row r="323" ht="14" x14ac:dyDescent="0.2"/>
    <row r="324" ht="14" x14ac:dyDescent="0.2"/>
    <row r="325" ht="14" x14ac:dyDescent="0.2"/>
    <row r="326" ht="14" x14ac:dyDescent="0.2"/>
    <row r="327" ht="14" x14ac:dyDescent="0.2"/>
    <row r="328" ht="14" x14ac:dyDescent="0.2"/>
    <row r="329" ht="14" x14ac:dyDescent="0.2"/>
    <row r="330" ht="14" x14ac:dyDescent="0.2"/>
    <row r="331" ht="14" x14ac:dyDescent="0.2"/>
    <row r="332" ht="14" x14ac:dyDescent="0.2"/>
    <row r="333" ht="14" x14ac:dyDescent="0.2"/>
    <row r="334" ht="14" x14ac:dyDescent="0.2"/>
    <row r="335" ht="14" x14ac:dyDescent="0.2"/>
    <row r="336" ht="14" x14ac:dyDescent="0.2"/>
    <row r="337" ht="14" x14ac:dyDescent="0.2"/>
    <row r="338" ht="14" x14ac:dyDescent="0.2"/>
    <row r="339" ht="14" x14ac:dyDescent="0.2"/>
    <row r="340" ht="14" x14ac:dyDescent="0.2"/>
    <row r="341" ht="14" x14ac:dyDescent="0.2"/>
    <row r="342" ht="14" x14ac:dyDescent="0.2"/>
    <row r="343" ht="14" x14ac:dyDescent="0.2"/>
    <row r="344" ht="14" x14ac:dyDescent="0.2"/>
    <row r="345" ht="14" x14ac:dyDescent="0.2"/>
    <row r="346" ht="14" x14ac:dyDescent="0.2"/>
    <row r="347" ht="14" x14ac:dyDescent="0.2"/>
    <row r="348" ht="14" x14ac:dyDescent="0.2"/>
    <row r="349" ht="14" x14ac:dyDescent="0.2"/>
    <row r="350" ht="14" x14ac:dyDescent="0.2"/>
    <row r="351" ht="14" x14ac:dyDescent="0.2"/>
    <row r="352" ht="14" x14ac:dyDescent="0.2"/>
    <row r="353" ht="14" x14ac:dyDescent="0.2"/>
    <row r="354" ht="14" x14ac:dyDescent="0.2"/>
    <row r="355" ht="14" x14ac:dyDescent="0.2"/>
    <row r="356" ht="14" x14ac:dyDescent="0.2"/>
    <row r="357" ht="14" x14ac:dyDescent="0.2"/>
    <row r="358" ht="14" x14ac:dyDescent="0.2"/>
    <row r="359" ht="14" x14ac:dyDescent="0.2"/>
    <row r="360" ht="14" x14ac:dyDescent="0.2"/>
    <row r="361" ht="14" x14ac:dyDescent="0.2"/>
    <row r="362" ht="14" x14ac:dyDescent="0.2"/>
    <row r="363" ht="14" x14ac:dyDescent="0.2"/>
    <row r="364" ht="14" x14ac:dyDescent="0.2"/>
    <row r="365" ht="14" x14ac:dyDescent="0.2"/>
    <row r="366" ht="14" x14ac:dyDescent="0.2"/>
    <row r="367" ht="14" x14ac:dyDescent="0.2"/>
    <row r="368" ht="14" x14ac:dyDescent="0.2"/>
    <row r="369" ht="14" x14ac:dyDescent="0.2"/>
    <row r="370" ht="14" x14ac:dyDescent="0.2"/>
    <row r="371" ht="14" x14ac:dyDescent="0.2"/>
    <row r="372" ht="14" x14ac:dyDescent="0.2"/>
    <row r="373" ht="14" x14ac:dyDescent="0.2"/>
    <row r="374" ht="14" x14ac:dyDescent="0.2"/>
    <row r="375" ht="14" x14ac:dyDescent="0.2"/>
    <row r="376" ht="14" x14ac:dyDescent="0.2"/>
    <row r="377" ht="14" x14ac:dyDescent="0.2"/>
    <row r="378" ht="14" x14ac:dyDescent="0.2"/>
    <row r="379" ht="14" x14ac:dyDescent="0.2"/>
    <row r="380" ht="14" x14ac:dyDescent="0.2"/>
    <row r="381" ht="14" x14ac:dyDescent="0.2"/>
    <row r="382" ht="14" x14ac:dyDescent="0.2"/>
    <row r="383" ht="14" x14ac:dyDescent="0.2"/>
    <row r="384" ht="14" x14ac:dyDescent="0.2"/>
    <row r="385" ht="14" x14ac:dyDescent="0.2"/>
    <row r="386" ht="14" x14ac:dyDescent="0.2"/>
    <row r="387" ht="14" x14ac:dyDescent="0.2"/>
    <row r="388" ht="14" x14ac:dyDescent="0.2"/>
    <row r="389" ht="14" x14ac:dyDescent="0.2"/>
    <row r="390" ht="14" x14ac:dyDescent="0.2"/>
    <row r="391" ht="14" x14ac:dyDescent="0.2"/>
    <row r="392" ht="14" x14ac:dyDescent="0.2"/>
    <row r="393" ht="14" x14ac:dyDescent="0.2"/>
    <row r="394" ht="14" x14ac:dyDescent="0.2"/>
    <row r="395" ht="14" x14ac:dyDescent="0.2"/>
    <row r="396" ht="14" x14ac:dyDescent="0.2"/>
    <row r="397" ht="14" x14ac:dyDescent="0.2"/>
    <row r="398" ht="14" x14ac:dyDescent="0.2"/>
    <row r="399" ht="14" x14ac:dyDescent="0.2"/>
    <row r="400" ht="14" x14ac:dyDescent="0.2"/>
    <row r="401" ht="14" x14ac:dyDescent="0.2"/>
    <row r="402" ht="14" x14ac:dyDescent="0.2"/>
    <row r="403" ht="14" x14ac:dyDescent="0.2"/>
    <row r="404" ht="14" x14ac:dyDescent="0.2"/>
    <row r="405" ht="14" x14ac:dyDescent="0.2"/>
    <row r="406" ht="14" x14ac:dyDescent="0.2"/>
    <row r="407" ht="14" x14ac:dyDescent="0.2"/>
    <row r="408" ht="14" x14ac:dyDescent="0.2"/>
    <row r="409" ht="14" x14ac:dyDescent="0.2"/>
    <row r="410" ht="14" x14ac:dyDescent="0.2"/>
    <row r="411" ht="14" x14ac:dyDescent="0.2"/>
    <row r="412" ht="14" x14ac:dyDescent="0.2"/>
    <row r="413" ht="14" x14ac:dyDescent="0.2"/>
    <row r="414" ht="14" x14ac:dyDescent="0.2"/>
    <row r="415" ht="14" x14ac:dyDescent="0.2"/>
    <row r="416" ht="14" x14ac:dyDescent="0.2"/>
    <row r="417" ht="14" x14ac:dyDescent="0.2"/>
    <row r="418" ht="14" x14ac:dyDescent="0.2"/>
    <row r="419" ht="14" x14ac:dyDescent="0.2"/>
    <row r="420" ht="14" x14ac:dyDescent="0.2"/>
    <row r="421" ht="14" x14ac:dyDescent="0.2"/>
    <row r="422" ht="14" x14ac:dyDescent="0.2"/>
    <row r="423" ht="14" x14ac:dyDescent="0.2"/>
    <row r="424" ht="14" x14ac:dyDescent="0.2"/>
    <row r="425" ht="14" x14ac:dyDescent="0.2"/>
    <row r="426" ht="14" x14ac:dyDescent="0.2"/>
    <row r="427" ht="14" x14ac:dyDescent="0.2"/>
    <row r="428" ht="14" x14ac:dyDescent="0.2"/>
    <row r="429" ht="14" x14ac:dyDescent="0.2"/>
    <row r="430" ht="14" x14ac:dyDescent="0.2"/>
    <row r="431" ht="14" x14ac:dyDescent="0.2"/>
    <row r="432" ht="14" x14ac:dyDescent="0.2"/>
    <row r="433" ht="14" x14ac:dyDescent="0.2"/>
    <row r="434" ht="14" x14ac:dyDescent="0.2"/>
    <row r="435" ht="14" x14ac:dyDescent="0.2"/>
    <row r="436" ht="14" x14ac:dyDescent="0.2"/>
    <row r="437" ht="14" x14ac:dyDescent="0.2"/>
    <row r="438" ht="14" x14ac:dyDescent="0.2"/>
    <row r="439" ht="14" x14ac:dyDescent="0.2"/>
    <row r="440" ht="14" x14ac:dyDescent="0.2"/>
    <row r="441" ht="14" x14ac:dyDescent="0.2"/>
    <row r="442" ht="14" x14ac:dyDescent="0.2"/>
    <row r="443" ht="14" x14ac:dyDescent="0.2"/>
    <row r="444" ht="14" x14ac:dyDescent="0.2"/>
    <row r="445" ht="14" x14ac:dyDescent="0.2"/>
    <row r="446" ht="14" x14ac:dyDescent="0.2"/>
    <row r="447" ht="14" x14ac:dyDescent="0.2"/>
    <row r="448" ht="14" x14ac:dyDescent="0.2"/>
    <row r="449" ht="14" x14ac:dyDescent="0.2"/>
    <row r="450" ht="14" x14ac:dyDescent="0.2"/>
    <row r="451" ht="14" x14ac:dyDescent="0.2"/>
    <row r="452" ht="14" x14ac:dyDescent="0.2"/>
    <row r="453" ht="14" x14ac:dyDescent="0.2"/>
    <row r="454" ht="14" x14ac:dyDescent="0.2"/>
    <row r="455" ht="14" x14ac:dyDescent="0.2"/>
    <row r="456" ht="14" x14ac:dyDescent="0.2"/>
    <row r="457" ht="14" x14ac:dyDescent="0.2"/>
    <row r="458" ht="14" x14ac:dyDescent="0.2"/>
    <row r="459" ht="14" x14ac:dyDescent="0.2"/>
    <row r="460" ht="14" x14ac:dyDescent="0.2"/>
    <row r="461" ht="14" x14ac:dyDescent="0.2"/>
    <row r="462" ht="14" x14ac:dyDescent="0.2"/>
    <row r="463" ht="14" x14ac:dyDescent="0.2"/>
    <row r="464" ht="14" x14ac:dyDescent="0.2"/>
    <row r="465" ht="14" x14ac:dyDescent="0.2"/>
    <row r="466" ht="14" x14ac:dyDescent="0.2"/>
    <row r="467" ht="14" x14ac:dyDescent="0.2"/>
    <row r="468" ht="14" x14ac:dyDescent="0.2"/>
    <row r="469" ht="14" x14ac:dyDescent="0.2"/>
    <row r="470" ht="14" x14ac:dyDescent="0.2"/>
    <row r="471" ht="14" x14ac:dyDescent="0.2"/>
    <row r="472" ht="14" x14ac:dyDescent="0.2"/>
    <row r="473" ht="14" x14ac:dyDescent="0.2"/>
    <row r="474" ht="14" x14ac:dyDescent="0.2"/>
    <row r="475" ht="14" x14ac:dyDescent="0.2"/>
    <row r="476" ht="14" x14ac:dyDescent="0.2"/>
    <row r="477" ht="14" x14ac:dyDescent="0.2"/>
    <row r="478" ht="14" x14ac:dyDescent="0.2"/>
    <row r="479" ht="14" x14ac:dyDescent="0.2"/>
    <row r="480" ht="14" x14ac:dyDescent="0.2"/>
    <row r="481" ht="14" x14ac:dyDescent="0.2"/>
    <row r="482" ht="14" x14ac:dyDescent="0.2"/>
    <row r="483" ht="14" x14ac:dyDescent="0.2"/>
    <row r="484" ht="14" x14ac:dyDescent="0.2"/>
    <row r="485" ht="14" x14ac:dyDescent="0.2"/>
    <row r="486" ht="14" x14ac:dyDescent="0.2"/>
    <row r="487" ht="14" x14ac:dyDescent="0.2"/>
    <row r="488" ht="14" x14ac:dyDescent="0.2"/>
    <row r="489" ht="14" x14ac:dyDescent="0.2"/>
    <row r="490" ht="14" x14ac:dyDescent="0.2"/>
    <row r="491" ht="14" x14ac:dyDescent="0.2"/>
    <row r="492" ht="14" x14ac:dyDescent="0.2"/>
    <row r="493" ht="14" x14ac:dyDescent="0.2"/>
    <row r="494" ht="14" x14ac:dyDescent="0.2"/>
    <row r="495" ht="14" x14ac:dyDescent="0.2"/>
    <row r="496" ht="14" x14ac:dyDescent="0.2"/>
    <row r="497" ht="14" x14ac:dyDescent="0.2"/>
    <row r="498" ht="14" x14ac:dyDescent="0.2"/>
    <row r="499" ht="14" x14ac:dyDescent="0.2"/>
    <row r="500" ht="14" x14ac:dyDescent="0.2"/>
    <row r="501" ht="14" x14ac:dyDescent="0.2"/>
    <row r="502" ht="14" x14ac:dyDescent="0.2"/>
    <row r="503" ht="14" x14ac:dyDescent="0.2"/>
    <row r="504" ht="14" x14ac:dyDescent="0.2"/>
    <row r="505" ht="14" x14ac:dyDescent="0.2"/>
    <row r="506" ht="14" x14ac:dyDescent="0.2"/>
    <row r="507" ht="14" x14ac:dyDescent="0.2"/>
    <row r="508" ht="14" x14ac:dyDescent="0.2"/>
    <row r="509" ht="14" x14ac:dyDescent="0.2"/>
    <row r="510" ht="14" x14ac:dyDescent="0.2"/>
    <row r="511" ht="14" x14ac:dyDescent="0.2"/>
    <row r="512" ht="14" x14ac:dyDescent="0.2"/>
    <row r="513" ht="14" x14ac:dyDescent="0.2"/>
    <row r="514" ht="14" x14ac:dyDescent="0.2"/>
    <row r="515" ht="14" x14ac:dyDescent="0.2"/>
    <row r="516" ht="14" x14ac:dyDescent="0.2"/>
    <row r="517" ht="14" x14ac:dyDescent="0.2"/>
    <row r="518" ht="14" x14ac:dyDescent="0.2"/>
    <row r="519" ht="14" x14ac:dyDescent="0.2"/>
    <row r="520" ht="14" x14ac:dyDescent="0.2"/>
    <row r="521" ht="14" x14ac:dyDescent="0.2"/>
    <row r="522" ht="14" x14ac:dyDescent="0.2"/>
    <row r="523" ht="14" x14ac:dyDescent="0.2"/>
    <row r="524" ht="14" x14ac:dyDescent="0.2"/>
    <row r="525" ht="14" x14ac:dyDescent="0.2"/>
    <row r="526" ht="14" x14ac:dyDescent="0.2"/>
    <row r="527" ht="14" x14ac:dyDescent="0.2"/>
    <row r="528" ht="14" x14ac:dyDescent="0.2"/>
    <row r="529" ht="14" x14ac:dyDescent="0.2"/>
    <row r="530" ht="14" x14ac:dyDescent="0.2"/>
    <row r="531" ht="14" x14ac:dyDescent="0.2"/>
    <row r="532" ht="14" x14ac:dyDescent="0.2"/>
    <row r="533" ht="14" x14ac:dyDescent="0.2"/>
    <row r="534" ht="14" x14ac:dyDescent="0.2"/>
    <row r="535" ht="14" x14ac:dyDescent="0.2"/>
    <row r="536" ht="14" x14ac:dyDescent="0.2"/>
    <row r="537" ht="14" x14ac:dyDescent="0.2"/>
    <row r="538" ht="14" x14ac:dyDescent="0.2"/>
    <row r="539" ht="14" x14ac:dyDescent="0.2"/>
    <row r="540" ht="14" x14ac:dyDescent="0.2"/>
    <row r="541" ht="14" x14ac:dyDescent="0.2"/>
    <row r="542" ht="14" x14ac:dyDescent="0.2"/>
    <row r="543" ht="14" x14ac:dyDescent="0.2"/>
    <row r="544" ht="14" x14ac:dyDescent="0.2"/>
    <row r="545" ht="14" x14ac:dyDescent="0.2"/>
    <row r="546" ht="14" x14ac:dyDescent="0.2"/>
    <row r="547" ht="14" x14ac:dyDescent="0.2"/>
    <row r="548" ht="14" x14ac:dyDescent="0.2"/>
    <row r="549" ht="14" x14ac:dyDescent="0.2"/>
    <row r="550" ht="14" x14ac:dyDescent="0.2"/>
    <row r="551" ht="14" x14ac:dyDescent="0.2"/>
    <row r="552" ht="14" x14ac:dyDescent="0.2"/>
    <row r="553" ht="14" x14ac:dyDescent="0.2"/>
    <row r="554" ht="14" x14ac:dyDescent="0.2"/>
    <row r="555" ht="14" x14ac:dyDescent="0.2"/>
    <row r="556" ht="14" x14ac:dyDescent="0.2"/>
    <row r="557" ht="14" x14ac:dyDescent="0.2"/>
    <row r="558" ht="14" x14ac:dyDescent="0.2"/>
    <row r="559" ht="14" x14ac:dyDescent="0.2"/>
    <row r="560" ht="14" x14ac:dyDescent="0.2"/>
    <row r="561" ht="14" x14ac:dyDescent="0.2"/>
    <row r="562" ht="14" x14ac:dyDescent="0.2"/>
    <row r="563" ht="14" x14ac:dyDescent="0.2"/>
    <row r="564" ht="14" x14ac:dyDescent="0.2"/>
    <row r="565" ht="14" x14ac:dyDescent="0.2"/>
    <row r="566" ht="14" x14ac:dyDescent="0.2"/>
    <row r="567" ht="14" x14ac:dyDescent="0.2"/>
    <row r="568" ht="14" x14ac:dyDescent="0.2"/>
    <row r="569" ht="14" x14ac:dyDescent="0.2"/>
    <row r="570" ht="14" x14ac:dyDescent="0.2"/>
    <row r="571" ht="14" x14ac:dyDescent="0.2"/>
    <row r="572" ht="14" x14ac:dyDescent="0.2"/>
    <row r="573" ht="14" x14ac:dyDescent="0.2"/>
    <row r="574" ht="14" x14ac:dyDescent="0.2"/>
    <row r="575" ht="14" x14ac:dyDescent="0.2"/>
    <row r="576" ht="14" x14ac:dyDescent="0.2"/>
    <row r="577" ht="14" x14ac:dyDescent="0.2"/>
    <row r="578" ht="14" x14ac:dyDescent="0.2"/>
    <row r="579" ht="14" x14ac:dyDescent="0.2"/>
    <row r="580" ht="14" x14ac:dyDescent="0.2"/>
    <row r="581" ht="14" x14ac:dyDescent="0.2"/>
    <row r="582" ht="14" x14ac:dyDescent="0.2"/>
    <row r="583" ht="14" x14ac:dyDescent="0.2"/>
    <row r="584" ht="14" x14ac:dyDescent="0.2"/>
    <row r="585" ht="14" x14ac:dyDescent="0.2"/>
    <row r="586" ht="14" x14ac:dyDescent="0.2"/>
    <row r="587" ht="14" x14ac:dyDescent="0.2"/>
    <row r="588" ht="14" x14ac:dyDescent="0.2"/>
    <row r="589" ht="14" x14ac:dyDescent="0.2"/>
    <row r="590" ht="14" x14ac:dyDescent="0.2"/>
    <row r="591" ht="14" x14ac:dyDescent="0.2"/>
    <row r="592" ht="14" x14ac:dyDescent="0.2"/>
    <row r="593" ht="14" x14ac:dyDescent="0.2"/>
    <row r="594" ht="14" x14ac:dyDescent="0.2"/>
    <row r="595" ht="14" x14ac:dyDescent="0.2"/>
    <row r="596" ht="14" x14ac:dyDescent="0.2"/>
    <row r="597" ht="14" x14ac:dyDescent="0.2"/>
    <row r="598" ht="14" x14ac:dyDescent="0.2"/>
    <row r="599" ht="14" x14ac:dyDescent="0.2"/>
    <row r="600" ht="14" x14ac:dyDescent="0.2"/>
    <row r="601" ht="14" x14ac:dyDescent="0.2"/>
    <row r="602" ht="14" x14ac:dyDescent="0.2"/>
    <row r="603" ht="14" x14ac:dyDescent="0.2"/>
    <row r="604" ht="14" x14ac:dyDescent="0.2"/>
    <row r="605" ht="14" x14ac:dyDescent="0.2"/>
    <row r="606" ht="14" x14ac:dyDescent="0.2"/>
    <row r="607" ht="14" x14ac:dyDescent="0.2"/>
    <row r="608" ht="14" x14ac:dyDescent="0.2"/>
    <row r="609" ht="14" x14ac:dyDescent="0.2"/>
    <row r="610" ht="14" x14ac:dyDescent="0.2"/>
    <row r="611" ht="14" x14ac:dyDescent="0.2"/>
    <row r="612" ht="14" x14ac:dyDescent="0.2"/>
    <row r="613" ht="14" x14ac:dyDescent="0.2"/>
    <row r="614" ht="14" x14ac:dyDescent="0.2"/>
    <row r="615" ht="14" x14ac:dyDescent="0.2"/>
    <row r="616" ht="14" x14ac:dyDescent="0.2"/>
    <row r="617" ht="14" x14ac:dyDescent="0.2"/>
    <row r="618" ht="14" x14ac:dyDescent="0.2"/>
    <row r="619" ht="14" x14ac:dyDescent="0.2"/>
    <row r="620" ht="14" x14ac:dyDescent="0.2"/>
    <row r="621" ht="14" x14ac:dyDescent="0.2"/>
    <row r="622" ht="14" x14ac:dyDescent="0.2"/>
    <row r="623" ht="14" x14ac:dyDescent="0.2"/>
    <row r="624" ht="14" x14ac:dyDescent="0.2"/>
    <row r="625" ht="14" x14ac:dyDescent="0.2"/>
    <row r="626" ht="14" x14ac:dyDescent="0.2"/>
    <row r="627" ht="14" x14ac:dyDescent="0.2"/>
    <row r="628" ht="14" x14ac:dyDescent="0.2"/>
    <row r="629" ht="14" x14ac:dyDescent="0.2"/>
    <row r="630" ht="14" x14ac:dyDescent="0.2"/>
    <row r="631" ht="14" x14ac:dyDescent="0.2"/>
    <row r="632" ht="14" x14ac:dyDescent="0.2"/>
    <row r="633" ht="14" x14ac:dyDescent="0.2"/>
    <row r="634" ht="14" x14ac:dyDescent="0.2"/>
    <row r="635" ht="14" x14ac:dyDescent="0.2"/>
    <row r="636" ht="14" x14ac:dyDescent="0.2"/>
    <row r="637" ht="14" x14ac:dyDescent="0.2"/>
    <row r="638" ht="14" x14ac:dyDescent="0.2"/>
    <row r="639" ht="14" x14ac:dyDescent="0.2"/>
    <row r="640" ht="14" x14ac:dyDescent="0.2"/>
    <row r="641" ht="14" x14ac:dyDescent="0.2"/>
    <row r="642" ht="14" x14ac:dyDescent="0.2"/>
    <row r="643" ht="14" x14ac:dyDescent="0.2"/>
    <row r="644" ht="14" x14ac:dyDescent="0.2"/>
    <row r="645" ht="14" x14ac:dyDescent="0.2"/>
    <row r="646" ht="14" x14ac:dyDescent="0.2"/>
    <row r="647" ht="14" x14ac:dyDescent="0.2"/>
    <row r="648" ht="14" x14ac:dyDescent="0.2"/>
    <row r="649" ht="14" x14ac:dyDescent="0.2"/>
    <row r="650" ht="14" x14ac:dyDescent="0.2"/>
    <row r="651" ht="14" x14ac:dyDescent="0.2"/>
    <row r="652" ht="14" x14ac:dyDescent="0.2"/>
    <row r="653" ht="14" x14ac:dyDescent="0.2"/>
    <row r="654" ht="14" x14ac:dyDescent="0.2"/>
    <row r="655" ht="14" x14ac:dyDescent="0.2"/>
    <row r="656" ht="14" x14ac:dyDescent="0.2"/>
    <row r="657" ht="14" x14ac:dyDescent="0.2"/>
    <row r="658" ht="14" x14ac:dyDescent="0.2"/>
    <row r="659" ht="14" x14ac:dyDescent="0.2"/>
    <row r="660" ht="14" x14ac:dyDescent="0.2"/>
    <row r="661" ht="14" x14ac:dyDescent="0.2"/>
    <row r="662" ht="14" x14ac:dyDescent="0.2"/>
    <row r="663" ht="14" x14ac:dyDescent="0.2"/>
    <row r="664" ht="14" x14ac:dyDescent="0.2"/>
    <row r="665" ht="14" x14ac:dyDescent="0.2"/>
    <row r="666" ht="14" x14ac:dyDescent="0.2"/>
    <row r="667" ht="14" x14ac:dyDescent="0.2"/>
    <row r="668" ht="14" x14ac:dyDescent="0.2"/>
    <row r="669" ht="14" x14ac:dyDescent="0.2"/>
    <row r="670" ht="14" x14ac:dyDescent="0.2"/>
    <row r="671" ht="14" x14ac:dyDescent="0.2"/>
    <row r="672" ht="14" x14ac:dyDescent="0.2"/>
    <row r="673" ht="14" x14ac:dyDescent="0.2"/>
    <row r="674" ht="14" x14ac:dyDescent="0.2"/>
    <row r="675" ht="14" x14ac:dyDescent="0.2"/>
    <row r="676" ht="14" x14ac:dyDescent="0.2"/>
    <row r="677" ht="14" x14ac:dyDescent="0.2"/>
    <row r="678" ht="14" x14ac:dyDescent="0.2"/>
    <row r="679" ht="14" x14ac:dyDescent="0.2"/>
    <row r="680" ht="14" x14ac:dyDescent="0.2"/>
    <row r="681" ht="14" x14ac:dyDescent="0.2"/>
    <row r="682" ht="14" x14ac:dyDescent="0.2"/>
    <row r="683" ht="14" x14ac:dyDescent="0.2"/>
    <row r="684" ht="14" x14ac:dyDescent="0.2"/>
    <row r="685" ht="14" x14ac:dyDescent="0.2"/>
    <row r="686" ht="14" x14ac:dyDescent="0.2"/>
    <row r="687" ht="14" x14ac:dyDescent="0.2"/>
    <row r="688" ht="14" x14ac:dyDescent="0.2"/>
    <row r="689" ht="14" x14ac:dyDescent="0.2"/>
    <row r="690" ht="14" x14ac:dyDescent="0.2"/>
    <row r="691" ht="14" x14ac:dyDescent="0.2"/>
    <row r="692" ht="14" x14ac:dyDescent="0.2"/>
    <row r="693" ht="14" x14ac:dyDescent="0.2"/>
    <row r="694" ht="14" x14ac:dyDescent="0.2"/>
    <row r="695" ht="14" x14ac:dyDescent="0.2"/>
    <row r="696" ht="14" x14ac:dyDescent="0.2"/>
    <row r="697" ht="14" x14ac:dyDescent="0.2"/>
    <row r="698" ht="14" x14ac:dyDescent="0.2"/>
    <row r="699" ht="14" x14ac:dyDescent="0.2"/>
    <row r="700" ht="14" x14ac:dyDescent="0.2"/>
    <row r="701" ht="14" x14ac:dyDescent="0.2"/>
    <row r="702" ht="14" x14ac:dyDescent="0.2"/>
    <row r="703" ht="14" x14ac:dyDescent="0.2"/>
    <row r="704" ht="14" x14ac:dyDescent="0.2"/>
    <row r="705" ht="14" x14ac:dyDescent="0.2"/>
    <row r="706" ht="14" x14ac:dyDescent="0.2"/>
    <row r="707" ht="14" x14ac:dyDescent="0.2"/>
    <row r="708" ht="14" x14ac:dyDescent="0.2"/>
    <row r="709" ht="14" x14ac:dyDescent="0.2"/>
    <row r="710" ht="14" x14ac:dyDescent="0.2"/>
    <row r="711" ht="14" x14ac:dyDescent="0.2"/>
    <row r="712" ht="14" x14ac:dyDescent="0.2"/>
    <row r="713" ht="14" x14ac:dyDescent="0.2"/>
    <row r="714" ht="14" x14ac:dyDescent="0.2"/>
    <row r="715" ht="14" x14ac:dyDescent="0.2"/>
    <row r="716" ht="14" x14ac:dyDescent="0.2"/>
    <row r="717" ht="14" x14ac:dyDescent="0.2"/>
    <row r="718" ht="14" x14ac:dyDescent="0.2"/>
    <row r="719" ht="14" x14ac:dyDescent="0.2"/>
    <row r="720" ht="14" x14ac:dyDescent="0.2"/>
    <row r="721" ht="14" x14ac:dyDescent="0.2"/>
    <row r="722" ht="14" x14ac:dyDescent="0.2"/>
    <row r="723" ht="14" x14ac:dyDescent="0.2"/>
    <row r="724" ht="14" x14ac:dyDescent="0.2"/>
    <row r="725" ht="14" x14ac:dyDescent="0.2"/>
    <row r="726" ht="14" x14ac:dyDescent="0.2"/>
    <row r="727" ht="14" x14ac:dyDescent="0.2"/>
    <row r="728" ht="14" x14ac:dyDescent="0.2"/>
    <row r="729" ht="14" x14ac:dyDescent="0.2"/>
    <row r="730" ht="14" x14ac:dyDescent="0.2"/>
    <row r="731" ht="14" x14ac:dyDescent="0.2"/>
    <row r="732" ht="14" x14ac:dyDescent="0.2"/>
    <row r="733" ht="14" x14ac:dyDescent="0.2"/>
    <row r="734" ht="14" x14ac:dyDescent="0.2"/>
    <row r="735" ht="14" x14ac:dyDescent="0.2"/>
    <row r="736" ht="14" x14ac:dyDescent="0.2"/>
    <row r="737" ht="14" x14ac:dyDescent="0.2"/>
    <row r="738" ht="14" x14ac:dyDescent="0.2"/>
    <row r="739" ht="14" x14ac:dyDescent="0.2"/>
    <row r="740" ht="14" x14ac:dyDescent="0.2"/>
    <row r="741" ht="14" x14ac:dyDescent="0.2"/>
    <row r="742" ht="14" x14ac:dyDescent="0.2"/>
    <row r="743" ht="14" x14ac:dyDescent="0.2"/>
    <row r="744" ht="14" x14ac:dyDescent="0.2"/>
    <row r="745" ht="14" x14ac:dyDescent="0.2"/>
    <row r="746" ht="14" x14ac:dyDescent="0.2"/>
    <row r="747" ht="14" x14ac:dyDescent="0.2"/>
    <row r="748" ht="14" x14ac:dyDescent="0.2"/>
    <row r="749" ht="14" x14ac:dyDescent="0.2"/>
    <row r="750" ht="14" x14ac:dyDescent="0.2"/>
    <row r="751" ht="14" x14ac:dyDescent="0.2"/>
    <row r="752" ht="14" x14ac:dyDescent="0.2"/>
    <row r="753" ht="14" x14ac:dyDescent="0.2"/>
    <row r="754" ht="14" x14ac:dyDescent="0.2"/>
    <row r="755" ht="14" x14ac:dyDescent="0.2"/>
    <row r="756" ht="14" x14ac:dyDescent="0.2"/>
    <row r="757" ht="14" x14ac:dyDescent="0.2"/>
    <row r="758" ht="14" x14ac:dyDescent="0.2"/>
    <row r="759" ht="14" x14ac:dyDescent="0.2"/>
    <row r="760" ht="14" x14ac:dyDescent="0.2"/>
    <row r="761" ht="14" x14ac:dyDescent="0.2"/>
    <row r="762" ht="14" x14ac:dyDescent="0.2"/>
    <row r="763" ht="14" x14ac:dyDescent="0.2"/>
    <row r="764" ht="14" x14ac:dyDescent="0.2"/>
    <row r="765" ht="14" x14ac:dyDescent="0.2"/>
    <row r="766" ht="14" x14ac:dyDescent="0.2"/>
    <row r="767" ht="14" x14ac:dyDescent="0.2"/>
    <row r="768" ht="14" x14ac:dyDescent="0.2"/>
    <row r="769" ht="14" x14ac:dyDescent="0.2"/>
    <row r="770" ht="14" x14ac:dyDescent="0.2"/>
    <row r="771" ht="14" x14ac:dyDescent="0.2"/>
    <row r="772" ht="14" x14ac:dyDescent="0.2"/>
    <row r="773" ht="14" x14ac:dyDescent="0.2"/>
    <row r="774" ht="14" x14ac:dyDescent="0.2"/>
    <row r="775" ht="14" x14ac:dyDescent="0.2"/>
    <row r="776" ht="14" x14ac:dyDescent="0.2"/>
    <row r="777" ht="14" x14ac:dyDescent="0.2"/>
    <row r="778" ht="14" x14ac:dyDescent="0.2"/>
    <row r="779" ht="14" x14ac:dyDescent="0.2"/>
    <row r="780" ht="14" x14ac:dyDescent="0.2"/>
    <row r="781" ht="14" x14ac:dyDescent="0.2"/>
    <row r="782" ht="14" x14ac:dyDescent="0.2"/>
    <row r="783" ht="14" x14ac:dyDescent="0.2"/>
    <row r="784" ht="14" x14ac:dyDescent="0.2"/>
    <row r="785" ht="14" x14ac:dyDescent="0.2"/>
    <row r="786" ht="14" x14ac:dyDescent="0.2"/>
    <row r="787" ht="14" x14ac:dyDescent="0.2"/>
    <row r="788" ht="14" x14ac:dyDescent="0.2"/>
    <row r="789" ht="14" x14ac:dyDescent="0.2"/>
    <row r="790" ht="14" x14ac:dyDescent="0.2"/>
    <row r="791" ht="14" x14ac:dyDescent="0.2"/>
    <row r="792" ht="14" x14ac:dyDescent="0.2"/>
    <row r="793" ht="14" x14ac:dyDescent="0.2"/>
    <row r="794" ht="14" x14ac:dyDescent="0.2"/>
    <row r="795" ht="14" x14ac:dyDescent="0.2"/>
    <row r="796" ht="14" x14ac:dyDescent="0.2"/>
    <row r="797" ht="14" x14ac:dyDescent="0.2"/>
    <row r="798" ht="14" x14ac:dyDescent="0.2"/>
    <row r="799" ht="14" x14ac:dyDescent="0.2"/>
    <row r="800" ht="14" x14ac:dyDescent="0.2"/>
    <row r="801" ht="14" x14ac:dyDescent="0.2"/>
    <row r="802" ht="14" x14ac:dyDescent="0.2"/>
    <row r="803" ht="14" x14ac:dyDescent="0.2"/>
    <row r="804" ht="14" x14ac:dyDescent="0.2"/>
    <row r="805" ht="14" x14ac:dyDescent="0.2"/>
    <row r="806" ht="14" x14ac:dyDescent="0.2"/>
    <row r="807" ht="14" x14ac:dyDescent="0.2"/>
    <row r="808" ht="14" x14ac:dyDescent="0.2"/>
    <row r="809" ht="14" x14ac:dyDescent="0.2"/>
    <row r="810" ht="14" x14ac:dyDescent="0.2"/>
    <row r="811" ht="14" x14ac:dyDescent="0.2"/>
    <row r="812" ht="14" x14ac:dyDescent="0.2"/>
    <row r="813" ht="14" x14ac:dyDescent="0.2"/>
    <row r="814" ht="14" x14ac:dyDescent="0.2"/>
    <row r="815" ht="14" x14ac:dyDescent="0.2"/>
    <row r="816" ht="14" x14ac:dyDescent="0.2"/>
    <row r="817" ht="14" x14ac:dyDescent="0.2"/>
    <row r="818" ht="14" x14ac:dyDescent="0.2"/>
    <row r="819" ht="14" x14ac:dyDescent="0.2"/>
    <row r="820" ht="14" x14ac:dyDescent="0.2"/>
    <row r="821" ht="14" x14ac:dyDescent="0.2"/>
    <row r="822" ht="14" x14ac:dyDescent="0.2"/>
    <row r="823" ht="14" x14ac:dyDescent="0.2"/>
    <row r="824" ht="14" x14ac:dyDescent="0.2"/>
    <row r="825" ht="14" x14ac:dyDescent="0.2"/>
    <row r="826" ht="14" x14ac:dyDescent="0.2"/>
    <row r="827" ht="14" x14ac:dyDescent="0.2"/>
    <row r="828" ht="14" x14ac:dyDescent="0.2"/>
    <row r="829" ht="14" x14ac:dyDescent="0.2"/>
    <row r="830" ht="14" x14ac:dyDescent="0.2"/>
    <row r="831" ht="14" x14ac:dyDescent="0.2"/>
    <row r="832" ht="14" x14ac:dyDescent="0.2"/>
    <row r="833" ht="14" x14ac:dyDescent="0.2"/>
    <row r="834" ht="14" x14ac:dyDescent="0.2"/>
    <row r="835" ht="14" x14ac:dyDescent="0.2"/>
    <row r="836" ht="14" x14ac:dyDescent="0.2"/>
    <row r="837" ht="14" x14ac:dyDescent="0.2"/>
    <row r="838" ht="14" x14ac:dyDescent="0.2"/>
    <row r="839" ht="14" x14ac:dyDescent="0.2"/>
    <row r="840" ht="14" x14ac:dyDescent="0.2"/>
    <row r="841" ht="14" x14ac:dyDescent="0.2"/>
    <row r="842" ht="14" x14ac:dyDescent="0.2"/>
    <row r="843" ht="14" x14ac:dyDescent="0.2"/>
    <row r="844" ht="14" x14ac:dyDescent="0.2"/>
    <row r="845" ht="14" x14ac:dyDescent="0.2"/>
    <row r="846" ht="14" x14ac:dyDescent="0.2"/>
    <row r="847" ht="14" x14ac:dyDescent="0.2"/>
    <row r="848" ht="14" x14ac:dyDescent="0.2"/>
    <row r="849" ht="14" x14ac:dyDescent="0.2"/>
    <row r="850" ht="14" x14ac:dyDescent="0.2"/>
    <row r="851" ht="14" x14ac:dyDescent="0.2"/>
    <row r="852" ht="14" x14ac:dyDescent="0.2"/>
    <row r="853" ht="14" x14ac:dyDescent="0.2"/>
    <row r="854" ht="14" x14ac:dyDescent="0.2"/>
    <row r="855" ht="14" x14ac:dyDescent="0.2"/>
    <row r="856" ht="14" x14ac:dyDescent="0.2"/>
    <row r="857" ht="14" x14ac:dyDescent="0.2"/>
    <row r="858" ht="14" x14ac:dyDescent="0.2"/>
    <row r="859" ht="14" x14ac:dyDescent="0.2"/>
    <row r="860" ht="14" x14ac:dyDescent="0.2"/>
    <row r="861" ht="14" x14ac:dyDescent="0.2"/>
    <row r="862" ht="14" x14ac:dyDescent="0.2"/>
    <row r="863" ht="14" x14ac:dyDescent="0.2"/>
    <row r="864" ht="14" x14ac:dyDescent="0.2"/>
    <row r="865" ht="14" x14ac:dyDescent="0.2"/>
    <row r="866" ht="14" x14ac:dyDescent="0.2"/>
    <row r="867" ht="14" x14ac:dyDescent="0.2"/>
    <row r="868" ht="14" x14ac:dyDescent="0.2"/>
    <row r="869" ht="14" x14ac:dyDescent="0.2"/>
    <row r="870" ht="14" x14ac:dyDescent="0.2"/>
    <row r="871" ht="14" x14ac:dyDescent="0.2"/>
    <row r="872" ht="14" x14ac:dyDescent="0.2"/>
    <row r="873" ht="14" x14ac:dyDescent="0.2"/>
    <row r="874" ht="14" x14ac:dyDescent="0.2"/>
    <row r="875" ht="14" x14ac:dyDescent="0.2"/>
    <row r="876" ht="14" x14ac:dyDescent="0.2"/>
    <row r="877" ht="14" x14ac:dyDescent="0.2"/>
    <row r="878" ht="14" x14ac:dyDescent="0.2"/>
    <row r="879" ht="14" x14ac:dyDescent="0.2"/>
    <row r="880" ht="14" x14ac:dyDescent="0.2"/>
    <row r="881" ht="14" x14ac:dyDescent="0.2"/>
    <row r="882" ht="14" x14ac:dyDescent="0.2"/>
    <row r="883" ht="14" x14ac:dyDescent="0.2"/>
    <row r="884" ht="14" x14ac:dyDescent="0.2"/>
    <row r="885" ht="14" x14ac:dyDescent="0.2"/>
    <row r="886" ht="14" x14ac:dyDescent="0.2"/>
    <row r="887" ht="14" x14ac:dyDescent="0.2"/>
    <row r="888" ht="14" x14ac:dyDescent="0.2"/>
    <row r="889" ht="14" x14ac:dyDescent="0.2"/>
    <row r="890" ht="14" x14ac:dyDescent="0.2"/>
    <row r="891" ht="14" x14ac:dyDescent="0.2"/>
    <row r="892" ht="14" x14ac:dyDescent="0.2"/>
    <row r="893" ht="14" x14ac:dyDescent="0.2"/>
    <row r="894" ht="14" x14ac:dyDescent="0.2"/>
    <row r="895" ht="14" x14ac:dyDescent="0.2"/>
    <row r="896" ht="14" x14ac:dyDescent="0.2"/>
    <row r="897" ht="14" x14ac:dyDescent="0.2"/>
    <row r="898" ht="14" x14ac:dyDescent="0.2"/>
    <row r="899" ht="14" x14ac:dyDescent="0.2"/>
    <row r="900" ht="14" x14ac:dyDescent="0.2"/>
    <row r="901" ht="14" x14ac:dyDescent="0.2"/>
    <row r="902" ht="14" x14ac:dyDescent="0.2"/>
    <row r="903" ht="14" x14ac:dyDescent="0.2"/>
    <row r="904" ht="14" x14ac:dyDescent="0.2"/>
    <row r="905" ht="14" x14ac:dyDescent="0.2"/>
    <row r="906" ht="14" x14ac:dyDescent="0.2"/>
    <row r="907" ht="14" x14ac:dyDescent="0.2"/>
    <row r="908" ht="14" x14ac:dyDescent="0.2"/>
    <row r="909" ht="14" x14ac:dyDescent="0.2"/>
    <row r="910" ht="14" x14ac:dyDescent="0.2"/>
    <row r="911" ht="14" x14ac:dyDescent="0.2"/>
    <row r="912" ht="14" x14ac:dyDescent="0.2"/>
    <row r="913" ht="14" x14ac:dyDescent="0.2"/>
    <row r="914" ht="14" x14ac:dyDescent="0.2"/>
    <row r="915" ht="14" x14ac:dyDescent="0.2"/>
    <row r="916" ht="14" x14ac:dyDescent="0.2"/>
    <row r="917" ht="14" x14ac:dyDescent="0.2"/>
    <row r="918" ht="14" x14ac:dyDescent="0.2"/>
    <row r="919" ht="14" x14ac:dyDescent="0.2"/>
    <row r="920" ht="14" x14ac:dyDescent="0.2"/>
    <row r="921" ht="14" x14ac:dyDescent="0.2"/>
    <row r="922" ht="14" x14ac:dyDescent="0.2"/>
    <row r="923" ht="14" x14ac:dyDescent="0.2"/>
    <row r="924" ht="14" x14ac:dyDescent="0.2"/>
    <row r="925" ht="14" x14ac:dyDescent="0.2"/>
    <row r="926" ht="14" x14ac:dyDescent="0.2"/>
    <row r="927" ht="14" x14ac:dyDescent="0.2"/>
    <row r="928" ht="14" x14ac:dyDescent="0.2"/>
    <row r="929" ht="14" x14ac:dyDescent="0.2"/>
    <row r="930" ht="14" x14ac:dyDescent="0.2"/>
    <row r="931" ht="14" x14ac:dyDescent="0.2"/>
    <row r="932" ht="14" x14ac:dyDescent="0.2"/>
    <row r="933" ht="14" x14ac:dyDescent="0.2"/>
    <row r="934" ht="14" x14ac:dyDescent="0.2"/>
    <row r="935" ht="14" x14ac:dyDescent="0.2"/>
    <row r="936" ht="14" x14ac:dyDescent="0.2"/>
    <row r="937" ht="14" x14ac:dyDescent="0.2"/>
    <row r="938" ht="14" x14ac:dyDescent="0.2"/>
    <row r="939" ht="14" x14ac:dyDescent="0.2"/>
    <row r="940" ht="14" x14ac:dyDescent="0.2"/>
    <row r="941" ht="14" x14ac:dyDescent="0.2"/>
    <row r="942" ht="14" x14ac:dyDescent="0.2"/>
    <row r="943" ht="14" x14ac:dyDescent="0.2"/>
    <row r="944" ht="14" x14ac:dyDescent="0.2"/>
    <row r="945" ht="14" x14ac:dyDescent="0.2"/>
    <row r="946" ht="14" x14ac:dyDescent="0.2"/>
    <row r="947" ht="14" x14ac:dyDescent="0.2"/>
    <row r="948" ht="14" x14ac:dyDescent="0.2"/>
    <row r="949" ht="14" x14ac:dyDescent="0.2"/>
    <row r="950" ht="14" x14ac:dyDescent="0.2"/>
    <row r="951" ht="14" x14ac:dyDescent="0.2"/>
    <row r="952" ht="14" x14ac:dyDescent="0.2"/>
    <row r="953" ht="14" x14ac:dyDescent="0.2"/>
    <row r="954" ht="14" x14ac:dyDescent="0.2"/>
    <row r="955" ht="14" x14ac:dyDescent="0.2"/>
    <row r="956" ht="14" x14ac:dyDescent="0.2"/>
    <row r="957" ht="14" x14ac:dyDescent="0.2"/>
    <row r="958" ht="14" x14ac:dyDescent="0.2"/>
    <row r="959" ht="14" x14ac:dyDescent="0.2"/>
    <row r="960" ht="14" x14ac:dyDescent="0.2"/>
    <row r="961" ht="14" x14ac:dyDescent="0.2"/>
    <row r="962" ht="14" x14ac:dyDescent="0.2"/>
    <row r="963" ht="14" x14ac:dyDescent="0.2"/>
    <row r="964" ht="14" x14ac:dyDescent="0.2"/>
    <row r="965" ht="14" x14ac:dyDescent="0.2"/>
    <row r="966" ht="14" x14ac:dyDescent="0.2"/>
    <row r="967" ht="14" x14ac:dyDescent="0.2"/>
    <row r="968" ht="14" x14ac:dyDescent="0.2"/>
    <row r="969" ht="14" x14ac:dyDescent="0.2"/>
    <row r="970" ht="14" x14ac:dyDescent="0.2"/>
    <row r="971" ht="14" x14ac:dyDescent="0.2"/>
    <row r="972" ht="14" x14ac:dyDescent="0.2"/>
    <row r="973" ht="14" x14ac:dyDescent="0.2"/>
    <row r="974" ht="14" x14ac:dyDescent="0.2"/>
    <row r="975" ht="14" x14ac:dyDescent="0.2"/>
    <row r="976" ht="14" x14ac:dyDescent="0.2"/>
    <row r="977" ht="14" x14ac:dyDescent="0.2"/>
    <row r="978" ht="14" x14ac:dyDescent="0.2"/>
    <row r="979" ht="14" x14ac:dyDescent="0.2"/>
    <row r="980" ht="14" x14ac:dyDescent="0.2"/>
    <row r="981" ht="14" x14ac:dyDescent="0.2"/>
    <row r="982" ht="14" x14ac:dyDescent="0.2"/>
    <row r="983" ht="14" x14ac:dyDescent="0.2"/>
    <row r="984" ht="14" x14ac:dyDescent="0.2"/>
    <row r="985" ht="14" x14ac:dyDescent="0.2"/>
    <row r="986" ht="14" x14ac:dyDescent="0.2"/>
    <row r="987" ht="14" x14ac:dyDescent="0.2"/>
    <row r="988" ht="14" x14ac:dyDescent="0.2"/>
    <row r="989" ht="14" x14ac:dyDescent="0.2"/>
    <row r="990" ht="14" x14ac:dyDescent="0.2"/>
    <row r="991" ht="14" x14ac:dyDescent="0.2"/>
    <row r="992" ht="14" x14ac:dyDescent="0.2"/>
    <row r="993" ht="14" x14ac:dyDescent="0.2"/>
    <row r="994" ht="14" x14ac:dyDescent="0.2"/>
    <row r="995" ht="14" x14ac:dyDescent="0.2"/>
    <row r="996" ht="14" x14ac:dyDescent="0.2"/>
    <row r="997" ht="14" x14ac:dyDescent="0.2"/>
    <row r="998" ht="14" x14ac:dyDescent="0.2"/>
    <row r="999" ht="14" x14ac:dyDescent="0.2"/>
    <row r="1000" ht="14" x14ac:dyDescent="0.2"/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8A9C-742F-FF4D-A29D-1A5EAB9435FA}">
  <dimension ref="A1:B15"/>
  <sheetViews>
    <sheetView workbookViewId="0">
      <selection activeCell="B15" sqref="A1:B15"/>
    </sheetView>
  </sheetViews>
  <sheetFormatPr baseColWidth="10" defaultRowHeight="14" x14ac:dyDescent="0.2"/>
  <sheetData>
    <row r="1" spans="1:2" ht="19" x14ac:dyDescent="0.25">
      <c r="A1" s="25">
        <v>-41.84</v>
      </c>
      <c r="B1">
        <v>0.27394258163488933</v>
      </c>
    </row>
    <row r="2" spans="1:2" ht="19" x14ac:dyDescent="0.25">
      <c r="A2" s="25">
        <v>-36.82</v>
      </c>
      <c r="B2">
        <v>0.54788516326977865</v>
      </c>
    </row>
    <row r="3" spans="1:2" ht="19" x14ac:dyDescent="0.25">
      <c r="A3" s="25">
        <v>-23.01</v>
      </c>
      <c r="B3">
        <v>0.82182774490466803</v>
      </c>
    </row>
    <row r="4" spans="1:2" ht="19" x14ac:dyDescent="0.25">
      <c r="A4" s="25">
        <v>-18.829999999999998</v>
      </c>
      <c r="B4">
        <v>1.0957703265395573</v>
      </c>
    </row>
    <row r="5" spans="1:2" ht="19" x14ac:dyDescent="0.25">
      <c r="A5" s="25">
        <v>-11.72</v>
      </c>
      <c r="B5">
        <v>1.3697129081744468</v>
      </c>
    </row>
    <row r="6" spans="1:2" ht="19" x14ac:dyDescent="0.25">
      <c r="A6" s="25">
        <v>-7.95</v>
      </c>
      <c r="B6">
        <v>1.6436554898093358</v>
      </c>
    </row>
    <row r="7" spans="1:2" ht="19" x14ac:dyDescent="0.25">
      <c r="A7" s="25">
        <v>-7.12</v>
      </c>
      <c r="B7">
        <v>1.9175980714442253</v>
      </c>
    </row>
    <row r="8" spans="1:2" ht="19" x14ac:dyDescent="0.25">
      <c r="A8" s="25">
        <v>-6.69</v>
      </c>
      <c r="B8">
        <v>2.1915406530791146</v>
      </c>
    </row>
    <row r="9" spans="1:2" ht="19" x14ac:dyDescent="0.25">
      <c r="A9" s="25">
        <v>-3.35</v>
      </c>
      <c r="B9">
        <v>2.4654832347140037</v>
      </c>
    </row>
    <row r="10" spans="1:2" ht="19" x14ac:dyDescent="0.25">
      <c r="A10" s="25">
        <v>-2.93</v>
      </c>
      <c r="B10">
        <v>2.7394258163488927</v>
      </c>
    </row>
    <row r="11" spans="1:2" ht="19" x14ac:dyDescent="0.25">
      <c r="A11" s="25">
        <v>-1.67</v>
      </c>
      <c r="B11">
        <v>3.0133683979837822</v>
      </c>
    </row>
    <row r="12" spans="1:2" ht="19" x14ac:dyDescent="0.25">
      <c r="A12" s="25">
        <v>-1.67</v>
      </c>
      <c r="B12">
        <v>3.2873109796186717</v>
      </c>
    </row>
    <row r="13" spans="1:2" ht="19" x14ac:dyDescent="0.25">
      <c r="A13" s="25">
        <v>-1.26</v>
      </c>
      <c r="B13">
        <v>3.5612535612535607</v>
      </c>
    </row>
    <row r="14" spans="1:2" ht="19" x14ac:dyDescent="0.25">
      <c r="A14" s="25">
        <v>-0.84</v>
      </c>
      <c r="B14">
        <v>3.8351961428884511</v>
      </c>
    </row>
    <row r="15" spans="1:2" ht="19" x14ac:dyDescent="0.25">
      <c r="A15" s="25">
        <v>-0.42</v>
      </c>
      <c r="B15">
        <v>4.1091387245233406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3984375" defaultRowHeight="15.75" customHeight="1" x14ac:dyDescent="0.2"/>
  <sheetData>
    <row r="1" spans="1:1" ht="15.75" customHeight="1" x14ac:dyDescent="0.2">
      <c r="A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2"/>
  <sheetViews>
    <sheetView workbookViewId="0"/>
  </sheetViews>
  <sheetFormatPr baseColWidth="10" defaultColWidth="14.3984375" defaultRowHeight="15.75" customHeight="1" x14ac:dyDescent="0.2"/>
  <sheetData>
    <row r="1" spans="1:1" ht="15.75" customHeight="1" x14ac:dyDescent="0.2">
      <c r="A1" s="8" t="s">
        <v>26</v>
      </c>
    </row>
    <row r="2" spans="1:1" ht="15.75" customHeight="1" x14ac:dyDescent="0.2">
      <c r="A2" s="8" t="e">
        <f>OpenSolver_AdjNum=1</f>
        <v>#NAME?</v>
      </c>
    </row>
    <row r="3" spans="1:1" ht="15.75" customHeight="1" x14ac:dyDescent="0.2">
      <c r="A3" s="8" t="e">
        <f>OpenSolver_ChosenSolver=Google</f>
        <v>#NAME?</v>
      </c>
    </row>
    <row r="4" spans="1:1" ht="15.75" customHeight="1" x14ac:dyDescent="0.2">
      <c r="A4" s="8" t="e">
        <f>OpenSolver_FastBuild=0</f>
        <v>#NAME?</v>
      </c>
    </row>
    <row r="5" spans="1:1" ht="15.75" customHeight="1" x14ac:dyDescent="0.2">
      <c r="A5" s="8" t="e">
        <f>OpenSolver_LinearityCheck=1</f>
        <v>#NAME?</v>
      </c>
    </row>
    <row r="6" spans="1:1" ht="15.75" customHeight="1" x14ac:dyDescent="0.2">
      <c r="A6" s="8" t="s">
        <v>26</v>
      </c>
    </row>
    <row r="7" spans="1:1" ht="15.75" customHeight="1" x14ac:dyDescent="0.2">
      <c r="A7" s="8" t="e">
        <f>solver_neg=1</f>
        <v>#NAME?</v>
      </c>
    </row>
    <row r="8" spans="1:1" ht="15.75" customHeight="1" x14ac:dyDescent="0.2">
      <c r="A8" s="8" t="e">
        <f>solver_num=0</f>
        <v>#NAME?</v>
      </c>
    </row>
    <row r="9" spans="1:1" ht="15.75" customHeight="1" x14ac:dyDescent="0.2">
      <c r="A9" s="8" t="s">
        <v>26</v>
      </c>
    </row>
    <row r="10" spans="1:1" ht="15.75" customHeight="1" x14ac:dyDescent="0.2">
      <c r="A10" s="8" t="e">
        <f>solver_sho=1</f>
        <v>#NAME?</v>
      </c>
    </row>
    <row r="11" spans="1:1" ht="15.75" customHeight="1" x14ac:dyDescent="0.2">
      <c r="A11" s="8" t="e">
        <f>solver_typ=2</f>
        <v>#NAME?</v>
      </c>
    </row>
    <row r="12" spans="1:1" ht="15.75" customHeight="1" x14ac:dyDescent="0.2">
      <c r="A12" s="8" t="e">
        <f>solver_val=0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analysis</vt:lpstr>
      <vt:lpstr>Sheet1</vt:lpstr>
      <vt:lpstr>__OpenSolverCache__</vt:lpstr>
      <vt:lpstr>__OpenSolver__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Jeppe Kari</dc:creator>
  <cp:lastModifiedBy>Lars Christoffersen</cp:lastModifiedBy>
  <dcterms:created xsi:type="dcterms:W3CDTF">2026-02-25T09:19:16Z</dcterms:created>
  <dcterms:modified xsi:type="dcterms:W3CDTF">2026-02-27T07:30:34Z</dcterms:modified>
</cp:coreProperties>
</file>