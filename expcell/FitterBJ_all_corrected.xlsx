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246357/Documents/uni/expcell/"/>
    </mc:Choice>
  </mc:AlternateContent>
  <xr:revisionPtr revIDLastSave="0" documentId="13_ncr:1_{DBB379D1-886D-554B-9053-8CE9B11D9012}" xr6:coauthVersionLast="47" xr6:coauthVersionMax="47" xr10:uidLastSave="{00000000-0000-0000-0000-000000000000}"/>
  <bookViews>
    <workbookView xWindow="0" yWindow="660" windowWidth="30240" windowHeight="15740" activeTab="1" xr2:uid="{5AE3D635-A068-405D-AA36-EB5AF8509F3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9" i="2" l="1"/>
  <c r="E49" i="2"/>
  <c r="D49" i="2"/>
  <c r="C49" i="2"/>
  <c r="F47" i="2"/>
  <c r="E47" i="2"/>
  <c r="D47" i="2"/>
  <c r="C47" i="2"/>
  <c r="F29" i="2"/>
  <c r="E29" i="2"/>
  <c r="D29" i="2"/>
  <c r="C29" i="2"/>
  <c r="F27" i="2"/>
  <c r="E27" i="2"/>
  <c r="D27" i="2"/>
  <c r="C27" i="2"/>
  <c r="V18" i="2"/>
  <c r="U18" i="2"/>
  <c r="T18" i="2"/>
  <c r="S18" i="2"/>
  <c r="R18" i="2"/>
  <c r="Q18" i="2"/>
  <c r="V16" i="2"/>
  <c r="U16" i="2"/>
  <c r="T16" i="2"/>
  <c r="S16" i="2"/>
  <c r="R16" i="2"/>
  <c r="Q16" i="2"/>
  <c r="V10" i="2"/>
  <c r="U10" i="2"/>
  <c r="T10" i="2"/>
  <c r="S10" i="2"/>
  <c r="R10" i="2"/>
  <c r="Q10" i="2"/>
  <c r="V8" i="2"/>
  <c r="U8" i="2"/>
  <c r="T8" i="2"/>
  <c r="S8" i="2"/>
  <c r="R8" i="2"/>
  <c r="Q8" i="2"/>
  <c r="X18" i="1"/>
  <c r="X10" i="1"/>
  <c r="W18" i="1"/>
  <c r="W10" i="1"/>
  <c r="V18" i="1"/>
  <c r="V10" i="1"/>
  <c r="U10" i="1"/>
  <c r="U18" i="1"/>
  <c r="T18" i="1"/>
  <c r="T10" i="1"/>
  <c r="S18" i="1"/>
  <c r="S10" i="1"/>
  <c r="S16" i="1"/>
  <c r="S8" i="1"/>
  <c r="X16" i="1"/>
  <c r="X8" i="1"/>
  <c r="W16" i="1"/>
  <c r="W8" i="1"/>
  <c r="V16" i="1"/>
  <c r="V8" i="1"/>
  <c r="U16" i="1"/>
  <c r="U8" i="1"/>
  <c r="T16" i="1"/>
  <c r="T8" i="1"/>
  <c r="F49" i="1"/>
  <c r="E49" i="1"/>
  <c r="D49" i="1"/>
  <c r="C49" i="1"/>
  <c r="F47" i="1"/>
  <c r="E47" i="1"/>
  <c r="D47" i="1"/>
  <c r="C47" i="1"/>
  <c r="F29" i="1"/>
  <c r="E29" i="1"/>
  <c r="D29" i="1"/>
  <c r="C29" i="1"/>
  <c r="F27" i="1"/>
  <c r="E27" i="1"/>
  <c r="D27" i="1"/>
  <c r="C27" i="1"/>
</calcChain>
</file>

<file path=xl/sharedStrings.xml><?xml version="1.0" encoding="utf-8"?>
<sst xmlns="http://schemas.openxmlformats.org/spreadsheetml/2006/main" count="140" uniqueCount="46">
  <si>
    <t>DLD1: week 1</t>
  </si>
  <si>
    <t>CaCO2: Week 1</t>
  </si>
  <si>
    <t>DLD1: Week 2 plate 1</t>
  </si>
  <si>
    <t>DLD1: Week 2 Plate 2</t>
  </si>
  <si>
    <t>Top punkt:</t>
  </si>
  <si>
    <t>Toppunkt</t>
  </si>
  <si>
    <t>A1</t>
  </si>
  <si>
    <t>B1</t>
  </si>
  <si>
    <t>A2</t>
  </si>
  <si>
    <t>C1</t>
  </si>
  <si>
    <t>A3</t>
  </si>
  <si>
    <t>D1</t>
  </si>
  <si>
    <t>A4</t>
  </si>
  <si>
    <t>A5</t>
  </si>
  <si>
    <t>B2</t>
  </si>
  <si>
    <t>A6</t>
  </si>
  <si>
    <t>C2</t>
  </si>
  <si>
    <t>D2</t>
  </si>
  <si>
    <t>B3</t>
  </si>
  <si>
    <t>B4</t>
  </si>
  <si>
    <t>C3</t>
  </si>
  <si>
    <t>B5</t>
  </si>
  <si>
    <t>D3</t>
  </si>
  <si>
    <t>B6</t>
  </si>
  <si>
    <t>C4</t>
  </si>
  <si>
    <t>D4</t>
  </si>
  <si>
    <t>C5</t>
  </si>
  <si>
    <t>C6</t>
  </si>
  <si>
    <t>PBS</t>
  </si>
  <si>
    <t>average</t>
  </si>
  <si>
    <t>D5</t>
  </si>
  <si>
    <t>D6</t>
  </si>
  <si>
    <t>5 µM Resv</t>
  </si>
  <si>
    <r>
      <t xml:space="preserve">2,5 </t>
    </r>
    <r>
      <rPr>
        <sz val="11"/>
        <color theme="1"/>
        <rFont val="Aptos Narrow"/>
        <family val="2"/>
      </rPr>
      <t>µM Resv</t>
    </r>
  </si>
  <si>
    <t xml:space="preserve">10 µM Resv </t>
  </si>
  <si>
    <t xml:space="preserve">20 µM Resv </t>
  </si>
  <si>
    <t xml:space="preserve">40 µM Resv </t>
  </si>
  <si>
    <t>NaBu</t>
  </si>
  <si>
    <r>
      <t xml:space="preserve">2,5 </t>
    </r>
    <r>
      <rPr>
        <sz val="11"/>
        <color theme="1"/>
        <rFont val="Aptos Narrow"/>
        <family val="2"/>
      </rPr>
      <t>µM Resv</t>
    </r>
    <r>
      <rPr>
        <sz val="11"/>
        <color theme="1"/>
        <rFont val="Aptos Narrow"/>
        <family val="2"/>
        <scheme val="minor"/>
      </rPr>
      <t xml:space="preserve"> + NaBu</t>
    </r>
  </si>
  <si>
    <t>5 µM  + NaBu</t>
  </si>
  <si>
    <t>10 µM Resv + NaBu</t>
  </si>
  <si>
    <t xml:space="preserve">20 µM + NaBu </t>
  </si>
  <si>
    <t>40 µM Resv + NaBu</t>
  </si>
  <si>
    <r>
      <t>0,5 m</t>
    </r>
    <r>
      <rPr>
        <sz val="11"/>
        <color theme="1"/>
        <rFont val="Aptos Narrow"/>
        <family val="2"/>
      </rPr>
      <t xml:space="preserve">M </t>
    </r>
    <r>
      <rPr>
        <sz val="11"/>
        <color theme="1"/>
        <rFont val="Aptos Narrow"/>
        <family val="2"/>
        <scheme val="minor"/>
      </rPr>
      <t>NaBu</t>
    </r>
  </si>
  <si>
    <t>1 mM NaBu</t>
  </si>
  <si>
    <t>5 mM NaBu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</si>
</sst>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Diameter of DLD-1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Sheet1!$C$29:$F$29</c:f>
                <c:numCache>
                  <c:formatCode>General</c:formatCode>
                  <c:ptCount val="4"/>
                  <c:pt idx="0">
                    <c:v>0.17651722673127529</c:v>
                  </c:pt>
                  <c:pt idx="1">
                    <c:v>0.25724896647779377</c:v>
                  </c:pt>
                  <c:pt idx="2">
                    <c:v>0.26767347818628712</c:v>
                  </c:pt>
                  <c:pt idx="3">
                    <c:v>0.3323883779813579</c:v>
                  </c:pt>
                </c:numCache>
              </c:numRef>
            </c:plus>
            <c:minus>
              <c:numRef>
                <c:f>Sheet1!$C$29:$F$29</c:f>
                <c:numCache>
                  <c:formatCode>General</c:formatCode>
                  <c:ptCount val="4"/>
                  <c:pt idx="0">
                    <c:v>0.17651722673127529</c:v>
                  </c:pt>
                  <c:pt idx="1">
                    <c:v>0.25724896647779377</c:v>
                  </c:pt>
                  <c:pt idx="2">
                    <c:v>0.26767347818628712</c:v>
                  </c:pt>
                  <c:pt idx="3">
                    <c:v>0.3323883779813579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Sheet1!$C$26:$F$26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16.184279690634575</c:v>
                </c:pt>
                <c:pt idx="1">
                  <c:v>18.236047438213678</c:v>
                </c:pt>
                <c:pt idx="2">
                  <c:v>19.01768165222385</c:v>
                </c:pt>
                <c:pt idx="3">
                  <c:v>20.027666016141978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0-41B6-8A59-22312599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770256"/>
        <c:axId val="1563523056"/>
      </c:barChart>
      <c:catAx>
        <c:axId val="136377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23056"/>
        <c:crosses val="autoZero"/>
        <c:auto val="1"/>
        <c:lblAlgn val="ctr"/>
        <c:lblOffset val="100"/>
        <c:noMultiLvlLbl val="0"/>
      </c:catAx>
      <c:valAx>
        <c:axId val="15635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in </a:t>
                </a:r>
                <a:r>
                  <a:rPr lang="en-US"/>
                  <a:t>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Diameter of Caco-2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Sheet1!$C$46:$F$46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Sheet1!$C$49:$F$49</c:f>
                <c:numCache>
                  <c:formatCode>General</c:formatCode>
                  <c:ptCount val="4"/>
                  <c:pt idx="0">
                    <c:v>1.0246388824763066</c:v>
                  </c:pt>
                  <c:pt idx="1">
                    <c:v>1.1629432421164125</c:v>
                  </c:pt>
                  <c:pt idx="2">
                    <c:v>1.0667784967187117</c:v>
                  </c:pt>
                  <c:pt idx="3">
                    <c:v>0.71989403013068931</c:v>
                  </c:pt>
                </c:numCache>
              </c:numRef>
            </c:plus>
            <c:minus>
              <c:numRef>
                <c:f>Sheet1!$C$49:$F$49</c:f>
                <c:numCache>
                  <c:formatCode>General</c:formatCode>
                  <c:ptCount val="4"/>
                  <c:pt idx="0">
                    <c:v>1.0246388824763066</c:v>
                  </c:pt>
                  <c:pt idx="1">
                    <c:v>1.1629432421164125</c:v>
                  </c:pt>
                  <c:pt idx="2">
                    <c:v>1.0667784967187117</c:v>
                  </c:pt>
                  <c:pt idx="3">
                    <c:v>0.71989403013068931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Sheet1!$C$46:$F$46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cat>
          <c:val>
            <c:numRef>
              <c:f>Sheet1!$C$47:$F$47</c:f>
              <c:numCache>
                <c:formatCode>General</c:formatCode>
                <c:ptCount val="4"/>
                <c:pt idx="0">
                  <c:v>20.070037403623132</c:v>
                </c:pt>
                <c:pt idx="1">
                  <c:v>19.928596521081669</c:v>
                </c:pt>
                <c:pt idx="2">
                  <c:v>19.353538625149167</c:v>
                </c:pt>
                <c:pt idx="3">
                  <c:v>20.091693601025266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D-4090-BCDB-A4E8C0570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3770256"/>
        <c:axId val="1563523056"/>
      </c:barChart>
      <c:catAx>
        <c:axId val="136377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23056"/>
        <c:crosses val="autoZero"/>
        <c:auto val="1"/>
        <c:lblAlgn val="ctr"/>
        <c:lblOffset val="100"/>
        <c:noMultiLvlLbl val="0"/>
      </c:catAx>
      <c:valAx>
        <c:axId val="15635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in </a:t>
                </a:r>
                <a:r>
                  <a:rPr lang="en-US"/>
                  <a:t>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DLD-1 Cell Diameter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- NaBu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8986230946121958E-3"/>
                  <c:y val="-1.01230925542927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0-44AB-A7D3-43453C03D93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Sheet1!$S$10:$X$10</c:f>
                <c:numCache>
                  <c:formatCode>General</c:formatCode>
                  <c:ptCount val="6"/>
                  <c:pt idx="0">
                    <c:v>0.63259035062952285</c:v>
                  </c:pt>
                  <c:pt idx="1">
                    <c:v>0.60570559523595247</c:v>
                  </c:pt>
                  <c:pt idx="2">
                    <c:v>0.78287413861586874</c:v>
                  </c:pt>
                  <c:pt idx="3">
                    <c:v>0.18164506173934597</c:v>
                  </c:pt>
                  <c:pt idx="4">
                    <c:v>9.6398627782195934E-2</c:v>
                  </c:pt>
                  <c:pt idx="5">
                    <c:v>0.54905225018983694</c:v>
                  </c:pt>
                </c:numCache>
              </c:numRef>
            </c:plus>
            <c:minus>
              <c:numRef>
                <c:f>Sheet1!$S$10:$X$10</c:f>
                <c:numCache>
                  <c:formatCode>General</c:formatCode>
                  <c:ptCount val="6"/>
                  <c:pt idx="0">
                    <c:v>0.63259035062952285</c:v>
                  </c:pt>
                  <c:pt idx="1">
                    <c:v>0.60570559523595247</c:v>
                  </c:pt>
                  <c:pt idx="2">
                    <c:v>0.78287413861586874</c:v>
                  </c:pt>
                  <c:pt idx="3">
                    <c:v>0.18164506173934597</c:v>
                  </c:pt>
                  <c:pt idx="4">
                    <c:v>9.6398627782195934E-2</c:v>
                  </c:pt>
                  <c:pt idx="5">
                    <c:v>0.54905225018983694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Sheet1!$S$7:$X$7</c:f>
              <c:strCache>
                <c:ptCount val="6"/>
                <c:pt idx="0">
                  <c:v>PBS</c:v>
                </c:pt>
                <c:pt idx="1">
                  <c:v>2,5 µM Resv</c:v>
                </c:pt>
                <c:pt idx="2">
                  <c:v>5 µM Resv</c:v>
                </c:pt>
                <c:pt idx="3">
                  <c:v>10 µM Resv </c:v>
                </c:pt>
                <c:pt idx="4">
                  <c:v>20 µM Resv </c:v>
                </c:pt>
                <c:pt idx="5">
                  <c:v>40 µM Resv </c:v>
                </c:pt>
              </c:strCache>
            </c:strRef>
          </c:cat>
          <c:val>
            <c:numRef>
              <c:f>Sheet1!$S$8:$X$8</c:f>
              <c:numCache>
                <c:formatCode>General</c:formatCode>
                <c:ptCount val="6"/>
                <c:pt idx="0">
                  <c:v>17.005066872166378</c:v>
                </c:pt>
                <c:pt idx="1">
                  <c:v>16.558536266764001</c:v>
                </c:pt>
                <c:pt idx="2">
                  <c:v>16.662470260757324</c:v>
                </c:pt>
                <c:pt idx="3">
                  <c:v>16.845985675066075</c:v>
                </c:pt>
                <c:pt idx="4">
                  <c:v>18.611924917402025</c:v>
                </c:pt>
                <c:pt idx="5">
                  <c:v>21.126414037484473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0-44AB-A7D3-43453C03D93F}"/>
            </c:ext>
          </c:extLst>
        </c:ser>
        <c:ser>
          <c:idx val="1"/>
          <c:order val="1"/>
          <c:tx>
            <c:v>+ NaBu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6.9615375933014677E-17"/>
                  <c:y val="-3.03692776628781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40-44AB-A7D3-43453C03D93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Sheet1!$S$18:$X$18</c:f>
                <c:numCache>
                  <c:formatCode>General</c:formatCode>
                  <c:ptCount val="6"/>
                  <c:pt idx="0">
                    <c:v>0.42745726317358551</c:v>
                  </c:pt>
                  <c:pt idx="1">
                    <c:v>0.38589920302702063</c:v>
                  </c:pt>
                  <c:pt idx="2">
                    <c:v>0.47444213690608356</c:v>
                  </c:pt>
                  <c:pt idx="3">
                    <c:v>1.1207332433553401</c:v>
                  </c:pt>
                  <c:pt idx="4">
                    <c:v>0.37110223417253896</c:v>
                  </c:pt>
                  <c:pt idx="5">
                    <c:v>0.27058129951129484</c:v>
                  </c:pt>
                </c:numCache>
              </c:numRef>
            </c:plus>
            <c:minus>
              <c:numRef>
                <c:f>Sheet1!$S$18:$X$18</c:f>
                <c:numCache>
                  <c:formatCode>General</c:formatCode>
                  <c:ptCount val="6"/>
                  <c:pt idx="0">
                    <c:v>0.42745726317358551</c:v>
                  </c:pt>
                  <c:pt idx="1">
                    <c:v>0.38589920302702063</c:v>
                  </c:pt>
                  <c:pt idx="2">
                    <c:v>0.47444213690608356</c:v>
                  </c:pt>
                  <c:pt idx="3">
                    <c:v>1.1207332433553401</c:v>
                  </c:pt>
                  <c:pt idx="4">
                    <c:v>0.37110223417253896</c:v>
                  </c:pt>
                  <c:pt idx="5">
                    <c:v>0.27058129951129484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Sheet1!$S$16:$X$16</c:f>
              <c:numCache>
                <c:formatCode>General</c:formatCode>
                <c:ptCount val="6"/>
                <c:pt idx="0">
                  <c:v>20.070535907433399</c:v>
                </c:pt>
                <c:pt idx="1">
                  <c:v>20.351522559084849</c:v>
                </c:pt>
                <c:pt idx="2">
                  <c:v>19.842127828156375</c:v>
                </c:pt>
                <c:pt idx="3">
                  <c:v>19.504824842768173</c:v>
                </c:pt>
                <c:pt idx="4">
                  <c:v>20.013255542296477</c:v>
                </c:pt>
                <c:pt idx="5">
                  <c:v>20.638530320050101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0-44AB-A7D3-43453C03D9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9044448"/>
        <c:axId val="1563500976"/>
      </c:barChart>
      <c:catAx>
        <c:axId val="17090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00976"/>
        <c:crosses val="autoZero"/>
        <c:auto val="1"/>
        <c:lblAlgn val="ctr"/>
        <c:lblOffset val="100"/>
        <c:noMultiLvlLbl val="0"/>
      </c:catAx>
      <c:valAx>
        <c:axId val="15635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diameter in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Diameter of DLD-1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Sheet1!$C$29:$F$29</c:f>
                <c:numCache>
                  <c:formatCode>General</c:formatCode>
                  <c:ptCount val="4"/>
                  <c:pt idx="0">
                    <c:v>0.17651722673127529</c:v>
                  </c:pt>
                  <c:pt idx="1">
                    <c:v>0.25724896647779377</c:v>
                  </c:pt>
                  <c:pt idx="2">
                    <c:v>0.26767347818628712</c:v>
                  </c:pt>
                  <c:pt idx="3">
                    <c:v>0.3323883779813579</c:v>
                  </c:pt>
                </c:numCache>
              </c:numRef>
            </c:plus>
            <c:minus>
              <c:numRef>
                <c:f>Sheet1!$C$29:$F$29</c:f>
                <c:numCache>
                  <c:formatCode>General</c:formatCode>
                  <c:ptCount val="4"/>
                  <c:pt idx="0">
                    <c:v>0.17651722673127529</c:v>
                  </c:pt>
                  <c:pt idx="1">
                    <c:v>0.25724896647779377</c:v>
                  </c:pt>
                  <c:pt idx="2">
                    <c:v>0.26767347818628712</c:v>
                  </c:pt>
                  <c:pt idx="3">
                    <c:v>0.3323883779813579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Sheet1!$C$26:$F$26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16.184279690634575</c:v>
                </c:pt>
                <c:pt idx="1">
                  <c:v>18.236047438213678</c:v>
                </c:pt>
                <c:pt idx="2">
                  <c:v>19.01768165222385</c:v>
                </c:pt>
                <c:pt idx="3">
                  <c:v>20.027666016141978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C-4F7F-9EA1-66C9A7D04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770256"/>
        <c:axId val="1563523056"/>
      </c:barChart>
      <c:catAx>
        <c:axId val="136377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23056"/>
        <c:crosses val="autoZero"/>
        <c:auto val="1"/>
        <c:lblAlgn val="ctr"/>
        <c:lblOffset val="100"/>
        <c:noMultiLvlLbl val="0"/>
      </c:catAx>
      <c:valAx>
        <c:axId val="15635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in </a:t>
                </a:r>
                <a:r>
                  <a:rPr lang="en-US"/>
                  <a:t>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Diameter of Caco-2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Sheet1!$C$46:$F$46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Sheet1!$C$49:$F$49</c:f>
                <c:numCache>
                  <c:formatCode>General</c:formatCode>
                  <c:ptCount val="4"/>
                  <c:pt idx="0">
                    <c:v>1.0246388824763066</c:v>
                  </c:pt>
                  <c:pt idx="1">
                    <c:v>1.1629432421164125</c:v>
                  </c:pt>
                  <c:pt idx="2">
                    <c:v>1.0667784967187117</c:v>
                  </c:pt>
                  <c:pt idx="3">
                    <c:v>0.71989403013068931</c:v>
                  </c:pt>
                </c:numCache>
              </c:numRef>
            </c:plus>
            <c:minus>
              <c:numRef>
                <c:f>Sheet1!$C$49:$F$49</c:f>
                <c:numCache>
                  <c:formatCode>General</c:formatCode>
                  <c:ptCount val="4"/>
                  <c:pt idx="0">
                    <c:v>1.0246388824763066</c:v>
                  </c:pt>
                  <c:pt idx="1">
                    <c:v>1.1629432421164125</c:v>
                  </c:pt>
                  <c:pt idx="2">
                    <c:v>1.0667784967187117</c:v>
                  </c:pt>
                  <c:pt idx="3">
                    <c:v>0.71989403013068931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Sheet1!$C$46:$F$46</c:f>
              <c:strCache>
                <c:ptCount val="4"/>
                <c:pt idx="0">
                  <c:v>PBS</c:v>
                </c:pt>
                <c:pt idx="1">
                  <c:v>0,5 mM NaBu</c:v>
                </c:pt>
                <c:pt idx="2">
                  <c:v>1 mM NaBu</c:v>
                </c:pt>
                <c:pt idx="3">
                  <c:v>5 mM NaBu</c:v>
                </c:pt>
              </c:strCache>
            </c:strRef>
          </c:cat>
          <c:val>
            <c:numRef>
              <c:f>Sheet1!$C$47:$F$47</c:f>
              <c:numCache>
                <c:formatCode>General</c:formatCode>
                <c:ptCount val="4"/>
                <c:pt idx="0">
                  <c:v>20.070037403623132</c:v>
                </c:pt>
                <c:pt idx="1">
                  <c:v>19.928596521081669</c:v>
                </c:pt>
                <c:pt idx="2">
                  <c:v>19.353538625149167</c:v>
                </c:pt>
                <c:pt idx="3">
                  <c:v>20.091693601025266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F-45E4-90BB-2E7DE3F233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3770256"/>
        <c:axId val="1563523056"/>
      </c:barChart>
      <c:catAx>
        <c:axId val="136377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23056"/>
        <c:crosses val="autoZero"/>
        <c:auto val="1"/>
        <c:lblAlgn val="ctr"/>
        <c:lblOffset val="100"/>
        <c:noMultiLvlLbl val="0"/>
      </c:catAx>
      <c:valAx>
        <c:axId val="15635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in </a:t>
                </a:r>
                <a:r>
                  <a:rPr lang="en-US"/>
                  <a:t>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DLD-1 Cell Diameter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- NaBu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8986230946121958E-3"/>
                  <c:y val="-1.01230925542927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EA-4E6A-AA5D-0904896032B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Sheet1!$S$10:$X$10</c:f>
                <c:numCache>
                  <c:formatCode>General</c:formatCode>
                  <c:ptCount val="6"/>
                  <c:pt idx="0">
                    <c:v>0.63259035062952285</c:v>
                  </c:pt>
                  <c:pt idx="1">
                    <c:v>0.60570559523595247</c:v>
                  </c:pt>
                  <c:pt idx="2">
                    <c:v>0.78287413861586874</c:v>
                  </c:pt>
                  <c:pt idx="3">
                    <c:v>0.18164506173934597</c:v>
                  </c:pt>
                  <c:pt idx="4">
                    <c:v>9.6398627782195934E-2</c:v>
                  </c:pt>
                  <c:pt idx="5">
                    <c:v>0.54905225018983694</c:v>
                  </c:pt>
                </c:numCache>
              </c:numRef>
            </c:plus>
            <c:minus>
              <c:numRef>
                <c:f>Sheet1!$S$10:$X$10</c:f>
                <c:numCache>
                  <c:formatCode>General</c:formatCode>
                  <c:ptCount val="6"/>
                  <c:pt idx="0">
                    <c:v>0.63259035062952285</c:v>
                  </c:pt>
                  <c:pt idx="1">
                    <c:v>0.60570559523595247</c:v>
                  </c:pt>
                  <c:pt idx="2">
                    <c:v>0.78287413861586874</c:v>
                  </c:pt>
                  <c:pt idx="3">
                    <c:v>0.18164506173934597</c:v>
                  </c:pt>
                  <c:pt idx="4">
                    <c:v>9.6398627782195934E-2</c:v>
                  </c:pt>
                  <c:pt idx="5">
                    <c:v>0.54905225018983694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Sheet1!$S$7:$X$7</c:f>
              <c:strCache>
                <c:ptCount val="6"/>
                <c:pt idx="0">
                  <c:v>PBS</c:v>
                </c:pt>
                <c:pt idx="1">
                  <c:v>2,5 µM Resv</c:v>
                </c:pt>
                <c:pt idx="2">
                  <c:v>5 µM Resv</c:v>
                </c:pt>
                <c:pt idx="3">
                  <c:v>10 µM Resv </c:v>
                </c:pt>
                <c:pt idx="4">
                  <c:v>20 µM Resv </c:v>
                </c:pt>
                <c:pt idx="5">
                  <c:v>40 µM Resv </c:v>
                </c:pt>
              </c:strCache>
            </c:strRef>
          </c:cat>
          <c:val>
            <c:numRef>
              <c:f>Sheet1!$S$8:$X$8</c:f>
              <c:numCache>
                <c:formatCode>General</c:formatCode>
                <c:ptCount val="6"/>
                <c:pt idx="0">
                  <c:v>17.005066872166378</c:v>
                </c:pt>
                <c:pt idx="1">
                  <c:v>16.558536266764001</c:v>
                </c:pt>
                <c:pt idx="2">
                  <c:v>16.662470260757324</c:v>
                </c:pt>
                <c:pt idx="3">
                  <c:v>16.845985675066075</c:v>
                </c:pt>
                <c:pt idx="4">
                  <c:v>18.611924917402025</c:v>
                </c:pt>
                <c:pt idx="5">
                  <c:v>21.126414037484473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A-4E6A-AA5D-0904896032B4}"/>
            </c:ext>
          </c:extLst>
        </c:ser>
        <c:ser>
          <c:idx val="1"/>
          <c:order val="1"/>
          <c:tx>
            <c:v>+ NaBu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6.9615375933014677E-17"/>
                  <c:y val="-3.03692776628781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EA-4E6A-AA5D-0904896032B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Sheet1!$S$18:$X$18</c:f>
                <c:numCache>
                  <c:formatCode>General</c:formatCode>
                  <c:ptCount val="6"/>
                  <c:pt idx="0">
                    <c:v>0.42745726317358551</c:v>
                  </c:pt>
                  <c:pt idx="1">
                    <c:v>0.38589920302702063</c:v>
                  </c:pt>
                  <c:pt idx="2">
                    <c:v>0.47444213690608356</c:v>
                  </c:pt>
                  <c:pt idx="3">
                    <c:v>1.1207332433553401</c:v>
                  </c:pt>
                  <c:pt idx="4">
                    <c:v>0.37110223417253896</c:v>
                  </c:pt>
                  <c:pt idx="5">
                    <c:v>0.27058129951129484</c:v>
                  </c:pt>
                </c:numCache>
              </c:numRef>
            </c:plus>
            <c:minus>
              <c:numRef>
                <c:f>Sheet1!$S$18:$X$18</c:f>
                <c:numCache>
                  <c:formatCode>General</c:formatCode>
                  <c:ptCount val="6"/>
                  <c:pt idx="0">
                    <c:v>0.42745726317358551</c:v>
                  </c:pt>
                  <c:pt idx="1">
                    <c:v>0.38589920302702063</c:v>
                  </c:pt>
                  <c:pt idx="2">
                    <c:v>0.47444213690608356</c:v>
                  </c:pt>
                  <c:pt idx="3">
                    <c:v>1.1207332433553401</c:v>
                  </c:pt>
                  <c:pt idx="4">
                    <c:v>0.37110223417253896</c:v>
                  </c:pt>
                  <c:pt idx="5">
                    <c:v>0.27058129951129484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Sheet1!$S$16:$X$16</c:f>
              <c:numCache>
                <c:formatCode>General</c:formatCode>
                <c:ptCount val="6"/>
                <c:pt idx="0">
                  <c:v>20.070535907433399</c:v>
                </c:pt>
                <c:pt idx="1">
                  <c:v>20.351522559084849</c:v>
                </c:pt>
                <c:pt idx="2">
                  <c:v>19.842127828156375</c:v>
                </c:pt>
                <c:pt idx="3">
                  <c:v>19.504824842768173</c:v>
                </c:pt>
                <c:pt idx="4">
                  <c:v>20.013255542296477</c:v>
                </c:pt>
                <c:pt idx="5">
                  <c:v>20.638530320050101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A-4E6A-AA5D-0904896032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9044448"/>
        <c:axId val="1563500976"/>
      </c:barChart>
      <c:catAx>
        <c:axId val="17090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00976"/>
        <c:crosses val="autoZero"/>
        <c:auto val="1"/>
        <c:lblAlgn val="ctr"/>
        <c:lblOffset val="100"/>
        <c:noMultiLvlLbl val="0"/>
      </c:catAx>
      <c:valAx>
        <c:axId val="15635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diameter in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185057</xdr:colOff>
      <xdr:row>29</xdr:row>
      <xdr:rowOff>16329</xdr:rowOff>
    </xdr:from>
    <xdr:to>
      <xdr:col>14</xdr:col>
      <xdr:colOff>489857</xdr:colOff>
      <xdr:row>43</xdr:row>
      <xdr:rowOff>168729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1A739-F813-DB87-0DFB-754EE99A0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141515</xdr:colOff>
      <xdr:row>45</xdr:row>
      <xdr:rowOff>54429</xdr:rowOff>
    </xdr:from>
    <xdr:to>
      <xdr:col>14</xdr:col>
      <xdr:colOff>446315</xdr:colOff>
      <xdr:row>60</xdr:row>
      <xdr:rowOff>21771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D02E8-3D59-4B94-BA86-C59C58FAF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859971</xdr:colOff>
      <xdr:row>2</xdr:row>
      <xdr:rowOff>87086</xdr:rowOff>
    </xdr:from>
    <xdr:to>
      <xdr:col>31</xdr:col>
      <xdr:colOff>283029</xdr:colOff>
      <xdr:row>23</xdr:row>
      <xdr:rowOff>70758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EDFE27-45D9-FDA7-689D-0A781B139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185057</xdr:colOff>
      <xdr:row>29</xdr:row>
      <xdr:rowOff>16329</xdr:rowOff>
    </xdr:from>
    <xdr:to>
      <xdr:col>14</xdr:col>
      <xdr:colOff>489857</xdr:colOff>
      <xdr:row>43</xdr:row>
      <xdr:rowOff>168729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86364-2B57-4109-8769-335567C28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141515</xdr:colOff>
      <xdr:row>45</xdr:row>
      <xdr:rowOff>54429</xdr:rowOff>
    </xdr:from>
    <xdr:to>
      <xdr:col>14</xdr:col>
      <xdr:colOff>446315</xdr:colOff>
      <xdr:row>60</xdr:row>
      <xdr:rowOff>21771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9863A-F820-4242-B7B0-B8B0215D8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18359</xdr:colOff>
      <xdr:row>20</xdr:row>
      <xdr:rowOff>75713</xdr:rowOff>
    </xdr:from>
    <xdr:to>
      <xdr:col>23</xdr:col>
      <xdr:colOff>681088</xdr:colOff>
      <xdr:row>41</xdr:row>
      <xdr:rowOff>59385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B54F9C-CD50-45E8-B9F3-3E59956F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C4-180A-4BA3-A8D0-7D53A157CCD2}">
  <dimension ref="B3:X49"/>
  <sheetViews>
    <sheetView zoomScale="127" workbookViewId="0">
      <selection sqref="A1:XFD1048576"/>
    </sheetView>
  </sheetViews>
  <sheetFormatPr baseColWidth="10" defaultColWidth="8.83203125" defaultRowHeight="15" x14ac:dyDescent="0.2"/>
  <cols>
    <col min="4" max="4" width="12" bestFit="1" customWidth="1"/>
    <col min="20" max="20" width="15.5" customWidth="1"/>
    <col min="21" max="34" width="15.1640625" customWidth="1"/>
  </cols>
  <sheetData>
    <row r="3" spans="3:24" x14ac:dyDescent="0.2">
      <c r="C3" t="s">
        <v>0</v>
      </c>
      <c r="G3" t="s">
        <v>1</v>
      </c>
      <c r="L3" t="s">
        <v>2</v>
      </c>
      <c r="N3" t="s">
        <v>3</v>
      </c>
    </row>
    <row r="4" spans="3:24" x14ac:dyDescent="0.2">
      <c r="D4" t="s">
        <v>4</v>
      </c>
      <c r="M4" t="s">
        <v>5</v>
      </c>
      <c r="N4" t="s">
        <v>5</v>
      </c>
    </row>
    <row r="5" spans="3:24" x14ac:dyDescent="0.2">
      <c r="C5" t="s">
        <v>6</v>
      </c>
      <c r="D5">
        <v>16.317881717362699</v>
      </c>
      <c r="G5">
        <v>18.948794133243499</v>
      </c>
      <c r="L5" t="s">
        <v>6</v>
      </c>
      <c r="M5">
        <v>16.792881901043302</v>
      </c>
      <c r="N5">
        <v>17.505971683289101</v>
      </c>
    </row>
    <row r="6" spans="3:24" x14ac:dyDescent="0.2">
      <c r="C6" t="s">
        <v>7</v>
      </c>
      <c r="D6">
        <v>15.9567384219516</v>
      </c>
      <c r="G6">
        <v>20.9577599192055</v>
      </c>
      <c r="L6" t="s">
        <v>7</v>
      </c>
      <c r="M6">
        <v>16.203856896846599</v>
      </c>
      <c r="N6">
        <v>17.517557007486499</v>
      </c>
    </row>
    <row r="7" spans="3:24" x14ac:dyDescent="0.2">
      <c r="C7" t="s">
        <v>9</v>
      </c>
      <c r="D7">
        <v>16.1326638844195</v>
      </c>
      <c r="G7">
        <v>20.303558158420401</v>
      </c>
      <c r="L7" t="s">
        <v>9</v>
      </c>
      <c r="M7">
        <v>19.9053416345056</v>
      </c>
      <c r="N7">
        <v>20.6207392080983</v>
      </c>
      <c r="S7" t="s">
        <v>28</v>
      </c>
      <c r="T7" t="s">
        <v>33</v>
      </c>
      <c r="U7" t="s">
        <v>32</v>
      </c>
      <c r="V7" t="s">
        <v>34</v>
      </c>
      <c r="W7" t="s">
        <v>35</v>
      </c>
      <c r="X7" t="s">
        <v>36</v>
      </c>
    </row>
    <row r="8" spans="3:24" x14ac:dyDescent="0.2">
      <c r="C8" t="s">
        <v>11</v>
      </c>
      <c r="D8">
        <v>16.3298347388045</v>
      </c>
      <c r="L8" t="s">
        <v>11</v>
      </c>
      <c r="M8">
        <v>19.609674970193499</v>
      </c>
      <c r="N8">
        <v>20.146387816936201</v>
      </c>
      <c r="R8" t="s">
        <v>29</v>
      </c>
      <c r="S8">
        <f>AVERAGE(M5:N5,M6:N6)</f>
        <v>17.005066872166378</v>
      </c>
      <c r="T8">
        <f>AVERAGE(M9:N9,M10:N10)</f>
        <v>16.558536266764001</v>
      </c>
      <c r="U8">
        <f>AVERAGE(M13:N13,M14:N14)</f>
        <v>16.662470260757324</v>
      </c>
      <c r="V8">
        <f>AVERAGE(M17:N17,M18:N18)</f>
        <v>16.845985675066075</v>
      </c>
      <c r="W8">
        <f>AVERAGE(M21:N21,M22:N22)</f>
        <v>18.611924917402025</v>
      </c>
      <c r="X8">
        <f>AVERAGE(M25:N25,M26:N26)</f>
        <v>21.126414037484473</v>
      </c>
    </row>
    <row r="9" spans="3:24" x14ac:dyDescent="0.2">
      <c r="C9" t="s">
        <v>8</v>
      </c>
      <c r="D9">
        <v>18.029225769388301</v>
      </c>
      <c r="G9">
        <v>19.693430301446899</v>
      </c>
      <c r="L9" t="s">
        <v>8</v>
      </c>
      <c r="M9">
        <v>16.2890769672997</v>
      </c>
      <c r="N9">
        <v>17.321572450920701</v>
      </c>
    </row>
    <row r="10" spans="3:24" x14ac:dyDescent="0.2">
      <c r="C10" t="s">
        <v>14</v>
      </c>
      <c r="D10">
        <v>18.114423254900501</v>
      </c>
      <c r="G10">
        <v>18.901208180931299</v>
      </c>
      <c r="L10" t="s">
        <v>14</v>
      </c>
      <c r="M10">
        <v>15.9092579479309</v>
      </c>
      <c r="N10">
        <v>16.7142377009047</v>
      </c>
      <c r="S10">
        <f>_xlfn.STDEV.S(M5:N5,M6:N6)</f>
        <v>0.63259035062952285</v>
      </c>
      <c r="T10">
        <f>_xlfn.STDEV.S(M9:N9,M10:N10)</f>
        <v>0.60570559523595247</v>
      </c>
      <c r="U10">
        <f>_xlfn.STDEV.S(M13:N13,M14:N14)</f>
        <v>0.78287413861586874</v>
      </c>
      <c r="V10">
        <f>_xlfn.STDEV.S(M17:N17,M18:N18)</f>
        <v>0.18164506173934597</v>
      </c>
      <c r="W10">
        <f>_xlfn.STDEV.S(M21:N21,M22:N22)</f>
        <v>9.6398627782195934E-2</v>
      </c>
      <c r="X10">
        <f>_xlfn.STDEV.S(M25:N25,M26:N26)</f>
        <v>0.54905225018983694</v>
      </c>
    </row>
    <row r="11" spans="3:24" x14ac:dyDescent="0.2">
      <c r="C11" t="s">
        <v>16</v>
      </c>
      <c r="D11">
        <v>18.608866995015401</v>
      </c>
      <c r="G11">
        <v>21.191151080866799</v>
      </c>
      <c r="L11" t="s">
        <v>16</v>
      </c>
      <c r="M11">
        <v>20.653572801933102</v>
      </c>
      <c r="N11">
        <v>20.4874881062219</v>
      </c>
    </row>
    <row r="12" spans="3:24" x14ac:dyDescent="0.2">
      <c r="C12" t="s">
        <v>17</v>
      </c>
      <c r="D12">
        <v>18.191673733550498</v>
      </c>
      <c r="L12" t="s">
        <v>17</v>
      </c>
      <c r="M12">
        <v>19.785308177013199</v>
      </c>
      <c r="N12">
        <v>20.479721151171201</v>
      </c>
    </row>
    <row r="13" spans="3:24" x14ac:dyDescent="0.2">
      <c r="C13" t="s">
        <v>10</v>
      </c>
      <c r="D13">
        <v>19.106823869906702</v>
      </c>
      <c r="G13">
        <v>20.311998531775501</v>
      </c>
      <c r="L13" t="s">
        <v>10</v>
      </c>
      <c r="M13">
        <v>16.5955809075692</v>
      </c>
      <c r="N13">
        <v>17.4548492412058</v>
      </c>
    </row>
    <row r="14" spans="3:24" x14ac:dyDescent="0.2">
      <c r="C14" t="s">
        <v>18</v>
      </c>
      <c r="D14">
        <v>18.660180242498701</v>
      </c>
      <c r="G14">
        <v>19.544407408294902</v>
      </c>
      <c r="L14" t="s">
        <v>18</v>
      </c>
      <c r="M14">
        <v>15.6130051558575</v>
      </c>
      <c r="N14">
        <v>16.986445738396799</v>
      </c>
    </row>
    <row r="15" spans="3:24" x14ac:dyDescent="0.2">
      <c r="C15" t="s">
        <v>20</v>
      </c>
      <c r="D15">
        <v>19.004916782770199</v>
      </c>
      <c r="G15">
        <v>18.204209935377101</v>
      </c>
      <c r="L15" t="s">
        <v>20</v>
      </c>
      <c r="M15">
        <v>19.4949393160861</v>
      </c>
      <c r="N15">
        <v>20.460657687370301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  <c r="X15" t="s">
        <v>42</v>
      </c>
    </row>
    <row r="16" spans="3:24" x14ac:dyDescent="0.2">
      <c r="C16" t="s">
        <v>22</v>
      </c>
      <c r="D16">
        <v>19.298805713719801</v>
      </c>
      <c r="L16" t="s">
        <v>22</v>
      </c>
      <c r="M16">
        <v>19.446309205497499</v>
      </c>
      <c r="N16">
        <v>19.966605103671601</v>
      </c>
      <c r="S16">
        <f>AVERAGE(M7:N7,M8:N8)</f>
        <v>20.070535907433399</v>
      </c>
      <c r="T16">
        <f>AVERAGE(M11:N11,M12:N12)</f>
        <v>20.351522559084849</v>
      </c>
      <c r="U16">
        <f>AVERAGE(M15:N15,M16:N16)</f>
        <v>19.842127828156375</v>
      </c>
      <c r="V16">
        <f>AVERAGE(M19:N19,M20:N20)</f>
        <v>19.504824842768173</v>
      </c>
      <c r="W16">
        <f>AVERAGE(M23:N23,M24:N24)</f>
        <v>20.013255542296477</v>
      </c>
      <c r="X16">
        <f>AVERAGE(M27:N27,M28:N28)</f>
        <v>20.638530320050101</v>
      </c>
    </row>
    <row r="17" spans="2:24" x14ac:dyDescent="0.2">
      <c r="C17" t="s">
        <v>12</v>
      </c>
      <c r="D17">
        <v>20.205112808976502</v>
      </c>
      <c r="G17">
        <v>20.728938889072001</v>
      </c>
      <c r="L17" t="s">
        <v>12</v>
      </c>
      <c r="M17">
        <v>16.7404168264516</v>
      </c>
      <c r="N17">
        <v>17.081200314916799</v>
      </c>
    </row>
    <row r="18" spans="2:24" x14ac:dyDescent="0.2">
      <c r="C18" t="s">
        <v>19</v>
      </c>
      <c r="D18">
        <v>20.095728746113199</v>
      </c>
      <c r="G18">
        <v>19.310808859524201</v>
      </c>
      <c r="L18" t="s">
        <v>19</v>
      </c>
      <c r="M18">
        <v>16.8909581827496</v>
      </c>
      <c r="N18">
        <v>16.6713673761463</v>
      </c>
      <c r="S18">
        <f>_xlfn.STDEV.S(M7:N7,M8:N8)</f>
        <v>0.42745726317358551</v>
      </c>
      <c r="T18">
        <f>_xlfn.STDEV.S(M11:N11,M12:N12)</f>
        <v>0.38589920302702063</v>
      </c>
      <c r="U18">
        <f>_xlfn.STDEV.S(M15:N15,M16:N16)</f>
        <v>0.47444213690608356</v>
      </c>
      <c r="V18">
        <f>_xlfn.STDEV.S(M19:N19,M20:N20)</f>
        <v>1.1207332433553401</v>
      </c>
      <c r="W18">
        <f>_xlfn.STDEV.S(M23:N23,M24:N24)</f>
        <v>0.37110223417253896</v>
      </c>
      <c r="X18">
        <f>_xlfn.STDEV.S(M27:N27,M28:N28)</f>
        <v>0.27058129951129484</v>
      </c>
    </row>
    <row r="19" spans="2:24" x14ac:dyDescent="0.2">
      <c r="C19" t="s">
        <v>24</v>
      </c>
      <c r="D19">
        <v>20.269046352648299</v>
      </c>
      <c r="G19">
        <v>20.2353330544796</v>
      </c>
      <c r="L19" t="s">
        <v>24</v>
      </c>
      <c r="M19">
        <v>20.520126285929599</v>
      </c>
      <c r="N19">
        <v>19.954447938211299</v>
      </c>
    </row>
    <row r="20" spans="2:24" x14ac:dyDescent="0.2">
      <c r="C20" t="s">
        <v>25</v>
      </c>
      <c r="D20">
        <v>19.540776156829899</v>
      </c>
      <c r="L20" t="s">
        <v>25</v>
      </c>
      <c r="M20">
        <v>19.6273857041299</v>
      </c>
      <c r="N20">
        <v>17.9173394428019</v>
      </c>
    </row>
    <row r="21" spans="2:24" x14ac:dyDescent="0.2">
      <c r="L21" t="s">
        <v>13</v>
      </c>
      <c r="M21">
        <v>18.574270410860802</v>
      </c>
      <c r="N21">
        <v>18.533684923750702</v>
      </c>
    </row>
    <row r="22" spans="2:24" x14ac:dyDescent="0.2">
      <c r="L22" t="s">
        <v>21</v>
      </c>
      <c r="M22">
        <v>18.587340475833798</v>
      </c>
      <c r="N22">
        <v>18.752403859162801</v>
      </c>
    </row>
    <row r="23" spans="2:24" x14ac:dyDescent="0.2">
      <c r="L23" t="s">
        <v>26</v>
      </c>
      <c r="M23">
        <v>20.245974556761301</v>
      </c>
      <c r="N23">
        <v>19.599320121690202</v>
      </c>
    </row>
    <row r="24" spans="2:24" x14ac:dyDescent="0.2">
      <c r="L24" t="s">
        <v>30</v>
      </c>
      <c r="M24">
        <v>20.396464360173599</v>
      </c>
      <c r="N24">
        <v>19.8112631305608</v>
      </c>
    </row>
    <row r="25" spans="2:24" x14ac:dyDescent="0.2">
      <c r="L25" t="s">
        <v>15</v>
      </c>
      <c r="M25">
        <v>21.5782966125673</v>
      </c>
      <c r="N25">
        <v>20.336651249721299</v>
      </c>
    </row>
    <row r="26" spans="2:24" x14ac:dyDescent="0.2">
      <c r="C26" t="s">
        <v>28</v>
      </c>
      <c r="D26" t="s">
        <v>43</v>
      </c>
      <c r="E26" t="s">
        <v>44</v>
      </c>
      <c r="F26" t="s">
        <v>45</v>
      </c>
      <c r="L26" t="s">
        <v>23</v>
      </c>
      <c r="M26">
        <v>21.393767757354901</v>
      </c>
      <c r="N26">
        <v>21.196940530294398</v>
      </c>
    </row>
    <row r="27" spans="2:24" x14ac:dyDescent="0.2">
      <c r="B27" t="s">
        <v>29</v>
      </c>
      <c r="C27">
        <f>AVERAGE(D5:D8)</f>
        <v>16.184279690634575</v>
      </c>
      <c r="D27">
        <f>AVERAGE(D9:D12)</f>
        <v>18.236047438213678</v>
      </c>
      <c r="E27">
        <f>AVERAGE(D13:D16)</f>
        <v>19.01768165222385</v>
      </c>
      <c r="F27">
        <f>AVERAGE(D17:D20)</f>
        <v>20.027666016141978</v>
      </c>
      <c r="L27" t="s">
        <v>27</v>
      </c>
      <c r="M27">
        <v>21.0228948907716</v>
      </c>
      <c r="N27">
        <v>20.552548132173701</v>
      </c>
    </row>
    <row r="28" spans="2:24" x14ac:dyDescent="0.2">
      <c r="L28" t="s">
        <v>31</v>
      </c>
      <c r="M28">
        <v>20.589333218156799</v>
      </c>
      <c r="N28">
        <v>20.389345039098298</v>
      </c>
    </row>
    <row r="29" spans="2:24" x14ac:dyDescent="0.2">
      <c r="C29">
        <f>_xlfn.STDEV.S(D5:D8)</f>
        <v>0.17651722673127529</v>
      </c>
      <c r="D29">
        <f>_xlfn.STDEV.S(D9:D12)</f>
        <v>0.25724896647779377</v>
      </c>
      <c r="E29">
        <f>_xlfn.STDEV.S(D13:D16)</f>
        <v>0.26767347818628712</v>
      </c>
      <c r="F29">
        <f>_xlfn.STDEV.S(D17:D20)</f>
        <v>0.3323883779813579</v>
      </c>
    </row>
    <row r="46" spans="2:6" x14ac:dyDescent="0.2">
      <c r="C46" t="s">
        <v>28</v>
      </c>
      <c r="D46" t="s">
        <v>43</v>
      </c>
      <c r="E46" t="s">
        <v>44</v>
      </c>
      <c r="F46" t="s">
        <v>45</v>
      </c>
    </row>
    <row r="47" spans="2:6" x14ac:dyDescent="0.2">
      <c r="B47" t="s">
        <v>29</v>
      </c>
      <c r="C47">
        <f>AVERAGE(G5:G7)</f>
        <v>20.070037403623132</v>
      </c>
      <c r="D47">
        <f>AVERAGE(G9:G11)</f>
        <v>19.928596521081669</v>
      </c>
      <c r="E47">
        <f>AVERAGE(G13:G15)</f>
        <v>19.353538625149167</v>
      </c>
      <c r="F47">
        <f>AVERAGE(G17:G19)</f>
        <v>20.091693601025266</v>
      </c>
    </row>
    <row r="49" spans="3:6" x14ac:dyDescent="0.2">
      <c r="C49">
        <f>_xlfn.STDEV.S(G5:G7)</f>
        <v>1.0246388824763066</v>
      </c>
      <c r="D49">
        <f>_xlfn.STDEV.S(G9:G11)</f>
        <v>1.1629432421164125</v>
      </c>
      <c r="E49">
        <f>_xlfn.STDEV.S(G13:G15)</f>
        <v>1.0667784967187117</v>
      </c>
      <c r="F49">
        <f>_xlfn.STDEV.S(G17:G19)</f>
        <v>0.71989403013068931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2CE3-C4FD-49AC-8B4B-2817BBD4A243}">
  <dimension ref="B3:V49"/>
  <sheetViews>
    <sheetView tabSelected="1" zoomScale="67" workbookViewId="0">
      <selection activeCell="D21" sqref="D21"/>
    </sheetView>
  </sheetViews>
  <sheetFormatPr baseColWidth="10" defaultColWidth="8.83203125" defaultRowHeight="15" x14ac:dyDescent="0.2"/>
  <cols>
    <col min="4" max="4" width="12" bestFit="1" customWidth="1"/>
    <col min="20" max="20" width="15.5" customWidth="1"/>
    <col min="21" max="34" width="15.1640625" customWidth="1"/>
  </cols>
  <sheetData>
    <row r="3" spans="3:22" x14ac:dyDescent="0.2">
      <c r="C3" t="s">
        <v>0</v>
      </c>
      <c r="G3" t="s">
        <v>1</v>
      </c>
      <c r="L3" t="s">
        <v>2</v>
      </c>
      <c r="N3" t="s">
        <v>3</v>
      </c>
    </row>
    <row r="4" spans="3:22" x14ac:dyDescent="0.2">
      <c r="D4" t="s">
        <v>4</v>
      </c>
      <c r="M4" t="s">
        <v>5</v>
      </c>
      <c r="N4" t="s">
        <v>5</v>
      </c>
    </row>
    <row r="5" spans="3:22" ht="16" x14ac:dyDescent="0.2">
      <c r="C5" t="s">
        <v>6</v>
      </c>
      <c r="D5" s="1">
        <v>1514.2782099999999</v>
      </c>
      <c r="G5" s="1">
        <v>1027.20964</v>
      </c>
      <c r="L5" t="s">
        <v>6</v>
      </c>
      <c r="M5">
        <v>1707.7360299488601</v>
      </c>
      <c r="N5">
        <v>1847.2653396639801</v>
      </c>
    </row>
    <row r="6" spans="3:22" ht="16" x14ac:dyDescent="0.2">
      <c r="C6" t="s">
        <v>7</v>
      </c>
      <c r="D6" s="1">
        <v>1622.56323</v>
      </c>
      <c r="G6" s="1">
        <v>2234.75164</v>
      </c>
      <c r="L6" t="s">
        <v>7</v>
      </c>
      <c r="M6">
        <v>1929.44211102994</v>
      </c>
      <c r="N6">
        <v>1347.9273192111</v>
      </c>
    </row>
    <row r="7" spans="3:22" ht="16" x14ac:dyDescent="0.2">
      <c r="C7" t="s">
        <v>9</v>
      </c>
      <c r="D7" s="1">
        <v>1284.4400599999999</v>
      </c>
      <c r="G7" s="1">
        <v>3086.7649700000002</v>
      </c>
      <c r="L7" t="s">
        <v>9</v>
      </c>
      <c r="M7">
        <v>2295.8135500365202</v>
      </c>
      <c r="N7">
        <v>2370.7998539079599</v>
      </c>
      <c r="Q7" t="s">
        <v>28</v>
      </c>
      <c r="R7" t="s">
        <v>33</v>
      </c>
      <c r="S7" t="s">
        <v>32</v>
      </c>
      <c r="T7" t="s">
        <v>34</v>
      </c>
      <c r="U7" t="s">
        <v>35</v>
      </c>
      <c r="V7" t="s">
        <v>36</v>
      </c>
    </row>
    <row r="8" spans="3:22" ht="16" x14ac:dyDescent="0.2">
      <c r="C8" t="s">
        <v>11</v>
      </c>
      <c r="D8" s="1">
        <v>1508.8568299999999</v>
      </c>
      <c r="G8" s="1">
        <v>1682.34112</v>
      </c>
      <c r="L8" t="s">
        <v>11</v>
      </c>
      <c r="M8">
        <v>2214.66398831263</v>
      </c>
      <c r="N8">
        <v>1723.65777940102</v>
      </c>
      <c r="P8" t="s">
        <v>29</v>
      </c>
      <c r="Q8">
        <f>AVERAGE(M5:N5,M6:N6)</f>
        <v>1708.0926999634698</v>
      </c>
      <c r="R8">
        <f>AVERAGE(M9:N9,M10:N10)</f>
        <v>1528.2026113951749</v>
      </c>
      <c r="S8">
        <f>AVERAGE(M13:N13,M14:N14)</f>
        <v>1744.444507852445</v>
      </c>
      <c r="T8">
        <f>AVERAGE(M17:N17,M18:N18)</f>
        <v>1781.0745183528074</v>
      </c>
      <c r="U8">
        <f>AVERAGE(M21:N21,M22:N22)</f>
        <v>1635.660153396635</v>
      </c>
      <c r="V8">
        <f>AVERAGE(M25:N25,M26:N26)</f>
        <v>2754.9762600438253</v>
      </c>
    </row>
    <row r="9" spans="3:22" ht="16" x14ac:dyDescent="0.2">
      <c r="C9" t="s">
        <v>8</v>
      </c>
      <c r="D9" s="1">
        <v>1910.03926</v>
      </c>
      <c r="G9" s="1">
        <v>5275.5775199999998</v>
      </c>
      <c r="L9" t="s">
        <v>8</v>
      </c>
      <c r="M9">
        <v>1505.8893352812199</v>
      </c>
      <c r="N9">
        <v>1490.59532505478</v>
      </c>
    </row>
    <row r="10" spans="3:22" ht="16" x14ac:dyDescent="0.2">
      <c r="C10" t="s">
        <v>14</v>
      </c>
      <c r="D10" s="1">
        <v>2163.9883100000002</v>
      </c>
      <c r="G10" s="1">
        <v>1785.63276</v>
      </c>
      <c r="L10" t="s">
        <v>14</v>
      </c>
      <c r="M10">
        <v>1536.7056245434601</v>
      </c>
      <c r="N10">
        <v>1579.6201607012399</v>
      </c>
      <c r="Q10">
        <f>_xlfn.STDEV.S(M5:N5,M6:N6)</f>
        <v>256.95902016124512</v>
      </c>
      <c r="R10">
        <f>_xlfn.STDEV.S(M9:N9,M10:N10)</f>
        <v>39.277881333169283</v>
      </c>
      <c r="S10">
        <f>_xlfn.STDEV.S(M13:N13,M14:N14)</f>
        <v>349.10658600544593</v>
      </c>
      <c r="T10">
        <f>_xlfn.STDEV.S(M17:N17,M18:N18)</f>
        <v>471.04433806080857</v>
      </c>
      <c r="U10">
        <f>_xlfn.STDEV.S(M21:N21,M22:N22)</f>
        <v>142.58370409254485</v>
      </c>
      <c r="V10">
        <f>_xlfn.STDEV.S(M25:N25,M26:N26)</f>
        <v>646.18372289134379</v>
      </c>
    </row>
    <row r="11" spans="3:22" ht="16" x14ac:dyDescent="0.2">
      <c r="C11" t="s">
        <v>16</v>
      </c>
      <c r="D11" s="1">
        <v>1664.07962</v>
      </c>
      <c r="G11" s="1">
        <v>4726.0203600000004</v>
      </c>
      <c r="L11" t="s">
        <v>16</v>
      </c>
      <c r="M11">
        <v>3137.0982468955399</v>
      </c>
      <c r="N11">
        <v>1694.8959094229299</v>
      </c>
    </row>
    <row r="12" spans="3:22" ht="16" x14ac:dyDescent="0.2">
      <c r="C12" t="s">
        <v>17</v>
      </c>
      <c r="D12" s="1">
        <v>1403.28251</v>
      </c>
      <c r="G12" s="1">
        <v>1635.8313599999999</v>
      </c>
      <c r="L12" t="s">
        <v>17</v>
      </c>
      <c r="M12">
        <v>2561.8608473338199</v>
      </c>
      <c r="N12">
        <v>1851.0317750182601</v>
      </c>
    </row>
    <row r="13" spans="3:22" ht="16" x14ac:dyDescent="0.2">
      <c r="C13" t="s">
        <v>10</v>
      </c>
      <c r="D13" s="1">
        <v>2313.5043799999999</v>
      </c>
      <c r="G13" s="1">
        <v>3134.7014199999999</v>
      </c>
      <c r="L13" t="s">
        <v>10</v>
      </c>
      <c r="M13">
        <v>2229.0449233016798</v>
      </c>
      <c r="N13">
        <v>1464.9150840029199</v>
      </c>
    </row>
    <row r="14" spans="3:22" ht="16" x14ac:dyDescent="0.2">
      <c r="C14" t="s">
        <v>18</v>
      </c>
      <c r="D14" s="1">
        <v>1802.7529199999999</v>
      </c>
      <c r="G14" s="1">
        <v>2516.6636199999998</v>
      </c>
      <c r="L14" t="s">
        <v>18</v>
      </c>
      <c r="M14">
        <v>1516.1614317019701</v>
      </c>
      <c r="N14">
        <v>1767.65659240321</v>
      </c>
    </row>
    <row r="15" spans="3:22" ht="16" x14ac:dyDescent="0.2">
      <c r="C15" t="s">
        <v>20</v>
      </c>
      <c r="D15" s="1">
        <v>1932.0101400000001</v>
      </c>
      <c r="G15" s="1">
        <v>3955.3277899999998</v>
      </c>
      <c r="L15" t="s">
        <v>20</v>
      </c>
      <c r="M15">
        <v>2278.3509861212501</v>
      </c>
      <c r="N15">
        <v>1783.23593864134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  <c r="V15" t="s">
        <v>42</v>
      </c>
    </row>
    <row r="16" spans="3:22" ht="16" x14ac:dyDescent="0.2">
      <c r="C16" t="s">
        <v>22</v>
      </c>
      <c r="D16" s="1">
        <v>1641.82341</v>
      </c>
      <c r="G16" s="1">
        <v>1684.62381</v>
      </c>
      <c r="L16" t="s">
        <v>22</v>
      </c>
      <c r="M16">
        <v>1696.6079254930601</v>
      </c>
      <c r="N16">
        <v>1549.0321402483501</v>
      </c>
      <c r="Q16">
        <f>AVERAGE(M7:N7,M8:N8)</f>
        <v>2151.2337929145324</v>
      </c>
      <c r="R16">
        <f>AVERAGE(M11:N11,M12:N12)</f>
        <v>2311.2216946676372</v>
      </c>
      <c r="S16">
        <f>AVERAGE(M15:N15,M16:N16)</f>
        <v>1826.8067476259998</v>
      </c>
      <c r="T16">
        <f>AVERAGE(M19:N19,M20:N20)</f>
        <v>2194.6334002921799</v>
      </c>
      <c r="U16">
        <f>AVERAGE(M23:N23,M24:N24)</f>
        <v>2201.3102629656623</v>
      </c>
      <c r="V16">
        <f>AVERAGE(M27:N27,M28:N28)</f>
        <v>3269.0946859021124</v>
      </c>
    </row>
    <row r="17" spans="2:22" ht="16" x14ac:dyDescent="0.2">
      <c r="C17" t="s">
        <v>12</v>
      </c>
      <c r="D17" s="1">
        <v>1632.6926599999999</v>
      </c>
      <c r="G17" s="1">
        <v>2739.2257100000002</v>
      </c>
      <c r="L17" t="s">
        <v>12</v>
      </c>
      <c r="M17">
        <v>1271.68553688823</v>
      </c>
      <c r="N17">
        <v>1951.6983199415599</v>
      </c>
    </row>
    <row r="18" spans="2:22" ht="16" x14ac:dyDescent="0.2">
      <c r="C18" t="s">
        <v>19</v>
      </c>
      <c r="D18" s="1">
        <v>2341.1819799999998</v>
      </c>
      <c r="G18" s="1">
        <v>1983.3706199999999</v>
      </c>
      <c r="L18" t="s">
        <v>19</v>
      </c>
      <c r="M18">
        <v>2350.2556610664701</v>
      </c>
      <c r="N18">
        <v>1550.65855551497</v>
      </c>
      <c r="Q18">
        <f>_xlfn.STDEV.S(M7:N7,M8:N8)</f>
        <v>292.09427606509399</v>
      </c>
      <c r="R18">
        <f>_xlfn.STDEV.S(M11:N11,M12:N12)</f>
        <v>667.46393162813979</v>
      </c>
      <c r="S18">
        <f>_xlfn.STDEV.S(M15:N15,M16:N16)</f>
        <v>316.17562656559966</v>
      </c>
      <c r="T18">
        <f>_xlfn.STDEV.S(M19:N19,M20:N20)</f>
        <v>505.23505780104978</v>
      </c>
      <c r="U18">
        <f>_xlfn.STDEV.S(M23:N23,M24:N24)</f>
        <v>402.33936645112863</v>
      </c>
      <c r="V18">
        <f>_xlfn.STDEV.S(M27:N27,M28:N28)</f>
        <v>1426.4421322789688</v>
      </c>
    </row>
    <row r="19" spans="2:22" ht="16" x14ac:dyDescent="0.2">
      <c r="C19" t="s">
        <v>24</v>
      </c>
      <c r="D19" s="1">
        <v>1543.0971500000001</v>
      </c>
      <c r="G19" s="1">
        <v>5370.5944099999997</v>
      </c>
      <c r="L19" t="s">
        <v>24</v>
      </c>
      <c r="M19">
        <v>1711.33126369612</v>
      </c>
      <c r="N19">
        <v>1879.7936449963399</v>
      </c>
    </row>
    <row r="20" spans="2:22" ht="16" x14ac:dyDescent="0.2">
      <c r="C20" t="s">
        <v>25</v>
      </c>
      <c r="D20" s="1">
        <v>1733.13093</v>
      </c>
      <c r="G20" s="1">
        <v>4738.8604800000003</v>
      </c>
      <c r="L20" t="s">
        <v>25</v>
      </c>
      <c r="M20">
        <v>2354.3644996347698</v>
      </c>
      <c r="N20">
        <v>2833.0441928414898</v>
      </c>
    </row>
    <row r="21" spans="2:22" x14ac:dyDescent="0.2">
      <c r="L21" t="s">
        <v>13</v>
      </c>
      <c r="M21">
        <v>1824.3243243243201</v>
      </c>
      <c r="N21">
        <v>1484.31793279766</v>
      </c>
    </row>
    <row r="22" spans="2:22" x14ac:dyDescent="0.2">
      <c r="L22" t="s">
        <v>21</v>
      </c>
      <c r="M22">
        <v>1646.95945945945</v>
      </c>
      <c r="N22">
        <v>1587.0388970051099</v>
      </c>
    </row>
    <row r="23" spans="2:22" x14ac:dyDescent="0.2">
      <c r="L23" t="s">
        <v>26</v>
      </c>
      <c r="M23">
        <v>2050.3104455807102</v>
      </c>
      <c r="N23">
        <v>1906.50109569028</v>
      </c>
    </row>
    <row r="24" spans="2:22" x14ac:dyDescent="0.2">
      <c r="L24" t="s">
        <v>30</v>
      </c>
      <c r="M24">
        <v>2796.0646457267999</v>
      </c>
      <c r="N24">
        <v>2052.36486486486</v>
      </c>
    </row>
    <row r="25" spans="2:22" x14ac:dyDescent="0.2">
      <c r="L25" t="s">
        <v>15</v>
      </c>
      <c r="M25">
        <v>3301.4517896274601</v>
      </c>
      <c r="N25">
        <v>2621.43900657414</v>
      </c>
    </row>
    <row r="26" spans="2:22" x14ac:dyDescent="0.2">
      <c r="C26" t="s">
        <v>28</v>
      </c>
      <c r="D26" t="s">
        <v>43</v>
      </c>
      <c r="E26" t="s">
        <v>44</v>
      </c>
      <c r="F26" t="s">
        <v>45</v>
      </c>
      <c r="L26" t="s">
        <v>23</v>
      </c>
      <c r="M26">
        <v>1896.2289992695401</v>
      </c>
      <c r="N26">
        <v>3200.78524470416</v>
      </c>
    </row>
    <row r="27" spans="2:22" x14ac:dyDescent="0.2">
      <c r="B27" t="s">
        <v>29</v>
      </c>
      <c r="C27">
        <f>AVERAGE(D5:D8)</f>
        <v>1482.5345824999999</v>
      </c>
      <c r="D27">
        <f>AVERAGE(D9:D12)</f>
        <v>1785.3474250000002</v>
      </c>
      <c r="E27">
        <f>AVERAGE(D13:D16)</f>
        <v>1922.5227124999999</v>
      </c>
      <c r="F27">
        <f>AVERAGE(D17:D20)</f>
        <v>1812.52568</v>
      </c>
      <c r="L27" t="s">
        <v>27</v>
      </c>
      <c r="M27">
        <v>5072.3612125639102</v>
      </c>
      <c r="N27">
        <v>2469.4119795471101</v>
      </c>
    </row>
    <row r="28" spans="2:22" x14ac:dyDescent="0.2">
      <c r="L28" t="s">
        <v>31</v>
      </c>
      <c r="M28">
        <v>3691.79145361577</v>
      </c>
      <c r="N28">
        <v>1842.81409788166</v>
      </c>
    </row>
    <row r="29" spans="2:22" x14ac:dyDescent="0.2">
      <c r="C29">
        <f>_xlfn.STDEV.S(D5:D8)</f>
        <v>142.06803600797789</v>
      </c>
      <c r="D29">
        <f>_xlfn.STDEV.S(D9:D12)</f>
        <v>326.39263334861124</v>
      </c>
      <c r="E29">
        <f>_xlfn.STDEV.S(D13:D16)</f>
        <v>286.41088039221279</v>
      </c>
      <c r="F29">
        <f>_xlfn.STDEV.S(D17:D20)</f>
        <v>360.88440333784411</v>
      </c>
    </row>
    <row r="46" spans="2:6" x14ac:dyDescent="0.2">
      <c r="C46" t="s">
        <v>28</v>
      </c>
      <c r="D46" t="s">
        <v>43</v>
      </c>
      <c r="E46" t="s">
        <v>44</v>
      </c>
      <c r="F46" t="s">
        <v>45</v>
      </c>
    </row>
    <row r="47" spans="2:6" x14ac:dyDescent="0.2">
      <c r="B47" t="s">
        <v>29</v>
      </c>
      <c r="C47">
        <f>AVERAGE(G5:G7)</f>
        <v>2116.2420833333331</v>
      </c>
      <c r="D47">
        <f>AVERAGE(G9:G11)</f>
        <v>3929.0768800000001</v>
      </c>
      <c r="E47">
        <f>AVERAGE(G13:G15)</f>
        <v>3202.2309433333335</v>
      </c>
      <c r="F47">
        <f>AVERAGE(G17:G19)</f>
        <v>3364.3969133333335</v>
      </c>
    </row>
    <row r="49" spans="3:6" x14ac:dyDescent="0.2">
      <c r="C49">
        <f>_xlfn.STDEV.S(G5:G7)</f>
        <v>1034.8794256331755</v>
      </c>
      <c r="D49">
        <f>_xlfn.STDEV.S(G9:G11)</f>
        <v>1876.5041406026126</v>
      </c>
      <c r="E49">
        <f>_xlfn.STDEV.S(G13:G15)</f>
        <v>721.7054980403467</v>
      </c>
      <c r="F49">
        <f>_xlfn.STDEV.S(G17:G19)</f>
        <v>1778.0468289652624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6855FDCA298442AE65BA69FA4CFB73" ma:contentTypeVersion="11" ma:contentTypeDescription="Create a new document." ma:contentTypeScope="" ma:versionID="16b3471888a109907ceb357ff0ffcd6c">
  <xsd:schema xmlns:xsd="http://www.w3.org/2001/XMLSchema" xmlns:xs="http://www.w3.org/2001/XMLSchema" xmlns:p="http://schemas.microsoft.com/office/2006/metadata/properties" xmlns:ns2="6e744d88-42c3-4bc2-b03b-116649bf76dc" xmlns:ns3="bd243c3c-b730-42d2-bdac-15d5ee48c556" targetNamespace="http://schemas.microsoft.com/office/2006/metadata/properties" ma:root="true" ma:fieldsID="8530befb58afb484f2dd16023443f9fb" ns2:_="" ns3:_="">
    <xsd:import namespace="6e744d88-42c3-4bc2-b03b-116649bf76dc"/>
    <xsd:import namespace="bd243c3c-b730-42d2-bdac-15d5ee48c5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44d88-42c3-4bc2-b03b-116649bf7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3ba1f3-4e22-4715-a6d4-cefb20dd4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43c3c-b730-42d2-bdac-15d5ee48c5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5163d0-c691-44dd-b312-b43c4253e421}" ma:internalName="TaxCatchAll" ma:showField="CatchAllData" ma:web="bd243c3c-b730-42d2-bdac-15d5ee48c5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43c3c-b730-42d2-bdac-15d5ee48c556" xsi:nil="true"/>
    <lcf76f155ced4ddcb4097134ff3c332f xmlns="6e744d88-42c3-4bc2-b03b-116649bf76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B49E53-98E1-42DF-9C7F-269BE448D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744d88-42c3-4bc2-b03b-116649bf76dc"/>
    <ds:schemaRef ds:uri="bd243c3c-b730-42d2-bdac-15d5ee48c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DAF78E-38E0-4F3F-9B56-8E3DD2665B1A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6e744d88-42c3-4bc2-b03b-116649bf76dc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d243c3c-b730-42d2-bdac-15d5ee48c556"/>
  </ds:schemaRefs>
</ds:datastoreItem>
</file>

<file path=customXml/itemProps3.xml><?xml version="1.0" encoding="utf-8"?>
<ds:datastoreItem xmlns:ds="http://schemas.openxmlformats.org/officeDocument/2006/customXml" ds:itemID="{E807CDB6-78CE-4C06-AA61-FE240CAD5D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Giovanni Kristian Frilev Olesen</dc:creator>
  <cp:keywords/>
  <dc:description/>
  <cp:lastModifiedBy>Lars Christoffersen</cp:lastModifiedBy>
  <cp:revision/>
  <dcterms:created xsi:type="dcterms:W3CDTF">2026-06-29T08:57:08Z</dcterms:created>
  <dcterms:modified xsi:type="dcterms:W3CDTF">2026-06-29T15:28:55Z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0x0101008B6855FDCA298442AE65BA69FA4CFB73</vt:lpwstr>
  </property>
  <property fmtid="{D5CDD505-2E9C-101B-9397-08002B2CF9AE}" pid="3" name="MediaServiceImageTags">
    <vt:lpwstr/>
  </property>
</Properties>
</file>